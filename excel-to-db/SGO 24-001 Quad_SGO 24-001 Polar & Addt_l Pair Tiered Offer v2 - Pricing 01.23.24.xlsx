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fileSharing readOnlyRecommended="1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C12444\Desktop\Desktop\Ariba\"/>
    </mc:Choice>
  </mc:AlternateContent>
  <xr:revisionPtr revIDLastSave="0" documentId="8_{A9A46442-8AC3-4745-9973-3B42731A78C1}" xr6:coauthVersionLast="47" xr6:coauthVersionMax="47" xr10:uidLastSave="{00000000-0000-0000-0000-000000000000}"/>
  <bookViews>
    <workbookView xWindow="31800" yWindow="3540" windowWidth="21600" windowHeight="12675" tabRatio="842" xr2:uid="{00000000-000D-0000-FFFF-FFFF00000000}"/>
  </bookViews>
  <sheets>
    <sheet name="Master" sheetId="17" r:id="rId1"/>
    <sheet name="VDB" sheetId="19" r:id="rId2"/>
  </sheets>
  <externalReferences>
    <externalReference r:id="rId3"/>
    <externalReference r:id="rId4"/>
    <externalReference r:id="rId5"/>
    <externalReference r:id="rId6"/>
  </externalReferences>
  <definedNames>
    <definedName name="_Fill" hidden="1">#REF!</definedName>
    <definedName name="_xlnm._FilterDatabase" localSheetId="0" hidden="1">Master!$A$11:$U$15</definedName>
    <definedName name="_xlnm._FilterDatabase" localSheetId="1" hidden="1">VDB!$A$6:$BL$177</definedName>
    <definedName name="_Key1" hidden="1">#REF!</definedName>
    <definedName name="_Order1" hidden="1">255</definedName>
    <definedName name="_Sort" hidden="1">#REF!</definedName>
    <definedName name="aaaaaa" hidden="1">#REF!</definedName>
    <definedName name="dd" hidden="1">[1]Product!$AJ$1:$AJ$416</definedName>
    <definedName name="grid1">[2]Grid!$A$12:$B$446</definedName>
    <definedName name="grid2">[2]Grid!$D$12:$E$446</definedName>
    <definedName name="grid3">[2]Grid!$G$12:$H$244</definedName>
    <definedName name="grid4">[2]Grid!$J$12:$K$244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39211.7329861111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lk" hidden="1">[3]Product!$AJ$1:$AJ$416</definedName>
    <definedName name="_xlnm.Print_Area" localSheetId="0">Master!$A$1:$E$35</definedName>
    <definedName name="_xlnm.Print_Titles" localSheetId="0">Master!$1:$1</definedName>
    <definedName name="RpasFacStoreAttrib">'[4]RPAS Facings'!$C:$K</definedName>
    <definedName name="solver_lin" hidden="1">0</definedName>
    <definedName name="solver_num" hidden="1">0</definedName>
    <definedName name="solver_opt" hidden="1">#REF!</definedName>
    <definedName name="solver_typ" hidden="1">1</definedName>
    <definedName name="solver_val" hidden="1">0</definedName>
    <definedName name="wrn.FHUSS." hidden="1">{"fhuss",#N/A,FALSE,"FHUSS";"fhmgt",#N/A,FALSE,"FHMGT"}</definedName>
    <definedName name="zzz" hidden="1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7" l="1"/>
  <c r="F14" i="17"/>
  <c r="F13" i="17"/>
  <c r="H10" i="17"/>
  <c r="B178" i="19"/>
  <c r="BI178" i="19"/>
  <c r="BJ178" i="19"/>
  <c r="BK178" i="19"/>
  <c r="BC176" i="19"/>
  <c r="BC37" i="19"/>
  <c r="BC38" i="19"/>
  <c r="BC49" i="19"/>
  <c r="BC29" i="19"/>
  <c r="BC28" i="19"/>
  <c r="BC48" i="19"/>
  <c r="BC47" i="19"/>
  <c r="BC46" i="19"/>
  <c r="BC85" i="19"/>
  <c r="BC27" i="19"/>
  <c r="BC113" i="19"/>
  <c r="BC112" i="19"/>
  <c r="BC45" i="19"/>
  <c r="BC111" i="19"/>
  <c r="BC44" i="19"/>
  <c r="BC43" i="19"/>
  <c r="BC9" i="19"/>
  <c r="BC21" i="19"/>
  <c r="BC110" i="19"/>
  <c r="BC42" i="19"/>
  <c r="BC160" i="19"/>
  <c r="BC159" i="19"/>
  <c r="BC158" i="19"/>
  <c r="BC109" i="19"/>
  <c r="BC93" i="19"/>
  <c r="BC88" i="19"/>
  <c r="BC84" i="19"/>
  <c r="BC83" i="19"/>
  <c r="BC157" i="19"/>
  <c r="BC91" i="19"/>
  <c r="BC35" i="19"/>
  <c r="BC82" i="19"/>
  <c r="BC81" i="19"/>
  <c r="BC80" i="19"/>
  <c r="BC20" i="19"/>
  <c r="BC156" i="19"/>
  <c r="BC108" i="19"/>
  <c r="BC26" i="19"/>
  <c r="BC107" i="19"/>
  <c r="BC155" i="19"/>
  <c r="BC79" i="19"/>
  <c r="BC78" i="19"/>
  <c r="BC106" i="19"/>
  <c r="BC154" i="19"/>
  <c r="BC34" i="19"/>
  <c r="BC58" i="19"/>
  <c r="BC19" i="19"/>
  <c r="BC18" i="19"/>
  <c r="BC17" i="19"/>
  <c r="BC16" i="19"/>
  <c r="BC15" i="19"/>
  <c r="BC14" i="19"/>
  <c r="BC13" i="19"/>
  <c r="BC12" i="19"/>
  <c r="BC11" i="19"/>
  <c r="BC10" i="19"/>
  <c r="BC87" i="19"/>
  <c r="BC153" i="19"/>
  <c r="BC152" i="19"/>
  <c r="BC105" i="19"/>
  <c r="BC57" i="19"/>
  <c r="BC77" i="19"/>
  <c r="BC41" i="19"/>
  <c r="BC151" i="19"/>
  <c r="BC104" i="19"/>
  <c r="BC150" i="19"/>
  <c r="BC76" i="19"/>
  <c r="BC75" i="19"/>
  <c r="BC25" i="19"/>
  <c r="BC148" i="19"/>
  <c r="BC147" i="19"/>
  <c r="BC74" i="19"/>
  <c r="BC146" i="19"/>
  <c r="BC103" i="19"/>
  <c r="BC145" i="19"/>
  <c r="BC73" i="19"/>
  <c r="BC36" i="19"/>
  <c r="BC86" i="19"/>
  <c r="BC22" i="19"/>
  <c r="BC56" i="19"/>
  <c r="BC32" i="19"/>
  <c r="BC144" i="19"/>
  <c r="BC143" i="19"/>
  <c r="BC90" i="19"/>
  <c r="BC55" i="19"/>
  <c r="BC89" i="19"/>
  <c r="BC102" i="19"/>
  <c r="BC72" i="19"/>
  <c r="BC71" i="19"/>
  <c r="BC142" i="19"/>
  <c r="BC141" i="19"/>
  <c r="BC70" i="19"/>
  <c r="BC31" i="19"/>
  <c r="BC54" i="19"/>
  <c r="BC101" i="19"/>
  <c r="BC69" i="19"/>
  <c r="BC140" i="19"/>
  <c r="BC164" i="19"/>
  <c r="BC68" i="19"/>
  <c r="BC139" i="19"/>
  <c r="BC138" i="19"/>
  <c r="BC40" i="19"/>
  <c r="BC67" i="19"/>
  <c r="BC137" i="19"/>
  <c r="BC39" i="19"/>
  <c r="BC100" i="19"/>
  <c r="BC24" i="19"/>
  <c r="BC136" i="19"/>
  <c r="BC135" i="19"/>
  <c r="BC134" i="19"/>
  <c r="BC133" i="19"/>
  <c r="BC132" i="19"/>
  <c r="BC92" i="19"/>
  <c r="BC131" i="19"/>
  <c r="BC130" i="19"/>
  <c r="BC99" i="19"/>
  <c r="BC129" i="19"/>
  <c r="BC128" i="19"/>
  <c r="BC127" i="19"/>
  <c r="BC66" i="19"/>
  <c r="BC65" i="19"/>
  <c r="BC126" i="19"/>
  <c r="BC53" i="19"/>
  <c r="BC98" i="19"/>
  <c r="BC52" i="19"/>
  <c r="BC51" i="19"/>
  <c r="BC23" i="19"/>
  <c r="BC64" i="19"/>
  <c r="BC163" i="19"/>
  <c r="BC162" i="19"/>
  <c r="BC33" i="19"/>
  <c r="BC125" i="19"/>
  <c r="BC165" i="19"/>
  <c r="BC124" i="19"/>
  <c r="BC63" i="19"/>
  <c r="BC123" i="19"/>
  <c r="BC62" i="19"/>
  <c r="BC61" i="19"/>
  <c r="BC60" i="19"/>
  <c r="BC122" i="19"/>
  <c r="BC50" i="19"/>
  <c r="BC97" i="19"/>
  <c r="BC96" i="19"/>
  <c r="BC167" i="19"/>
  <c r="BC121" i="19"/>
  <c r="BC120" i="19"/>
  <c r="BC119" i="19"/>
  <c r="BC95" i="19"/>
  <c r="BC59" i="19"/>
  <c r="BC118" i="19"/>
  <c r="BC117" i="19"/>
  <c r="BC166" i="19"/>
  <c r="BC94" i="19"/>
  <c r="BC161" i="19"/>
  <c r="BC116" i="19"/>
  <c r="BC115" i="19"/>
  <c r="BC173" i="19"/>
  <c r="BC170" i="19"/>
  <c r="BC30" i="19"/>
  <c r="BC7" i="19"/>
  <c r="BC169" i="19"/>
  <c r="BC114" i="19"/>
  <c r="BC172" i="19"/>
  <c r="BC174" i="19"/>
  <c r="BC171" i="19"/>
  <c r="BC8" i="19"/>
  <c r="H13" i="17" l="1"/>
  <c r="J13" i="17" s="1"/>
  <c r="H15" i="17"/>
  <c r="J15" i="17" s="1"/>
  <c r="H14" i="17"/>
  <c r="J14" i="17" s="1"/>
  <c r="J23" i="17" l="1"/>
  <c r="J24" i="17" l="1"/>
  <c r="J25" i="17" s="1"/>
  <c r="J17" i="17" l="1"/>
  <c r="J18" i="17"/>
  <c r="J19" i="17"/>
  <c r="J20" i="17"/>
  <c r="J22" i="17" l="1"/>
</calcChain>
</file>

<file path=xl/sharedStrings.xml><?xml version="1.0" encoding="utf-8"?>
<sst xmlns="http://schemas.openxmlformats.org/spreadsheetml/2006/main" count="4277" uniqueCount="1290">
  <si>
    <t>Shipping Details</t>
  </si>
  <si>
    <t>Graphic Kit Label</t>
  </si>
  <si>
    <t>Review contents for proper signage &amp; safely store</t>
  </si>
  <si>
    <t>STORE TOTAL</t>
  </si>
  <si>
    <t>Item Description</t>
  </si>
  <si>
    <t>Size
(w x h)</t>
  </si>
  <si>
    <t>Material</t>
  </si>
  <si>
    <t>Lang</t>
  </si>
  <si>
    <t>CODE #</t>
  </si>
  <si>
    <t>Distro Quantity</t>
  </si>
  <si>
    <t>Overage Quantity</t>
  </si>
  <si>
    <t>Total Print Quantity</t>
  </si>
  <si>
    <t>PRICE POINT
ENTERED
ON MASTER</t>
  </si>
  <si>
    <t>Total Price</t>
  </si>
  <si>
    <t>Max Order Quantity</t>
  </si>
  <si>
    <t>Reorder Trigger</t>
  </si>
  <si>
    <t>Reprint Quantity</t>
  </si>
  <si>
    <t>Color</t>
  </si>
  <si>
    <t>Pantone</t>
  </si>
  <si>
    <t>Blockout</t>
  </si>
  <si>
    <t>Double Sided</t>
  </si>
  <si>
    <t>Same or Different</t>
  </si>
  <si>
    <t>Finishing</t>
  </si>
  <si>
    <t xml:space="preserve"> Print Method</t>
  </si>
  <si>
    <t>Comments</t>
  </si>
  <si>
    <t>ENG</t>
  </si>
  <si>
    <t>4CP</t>
  </si>
  <si>
    <t>STD</t>
  </si>
  <si>
    <t>N</t>
  </si>
  <si>
    <t>Magnet Receptive White</t>
  </si>
  <si>
    <t>Trim to Final</t>
  </si>
  <si>
    <t>Y</t>
  </si>
  <si>
    <t>6x2.8</t>
  </si>
  <si>
    <t>5x5</t>
  </si>
  <si>
    <t>Online Setup</t>
  </si>
  <si>
    <t>Project/production management</t>
  </si>
  <si>
    <t>fulfillment/warehousing</t>
  </si>
  <si>
    <t>RIP FILES</t>
  </si>
  <si>
    <t>PACKAGING</t>
  </si>
  <si>
    <t>Total:</t>
  </si>
  <si>
    <t>Total Print Cost</t>
  </si>
  <si>
    <t>Overage Cost</t>
  </si>
  <si>
    <t>% Overage Cost</t>
  </si>
  <si>
    <t>50pt Cardstock</t>
  </si>
  <si>
    <t>Black Foam Core</t>
  </si>
  <si>
    <t xml:space="preserve">6X2.8 </t>
  </si>
  <si>
    <t>6.625x2.5</t>
  </si>
  <si>
    <t>Attention Sunglass Outfitters</t>
  </si>
  <si>
    <t>OFFER</t>
  </si>
  <si>
    <t>SGO 24-001 POLAR &amp; ADDT'L PAIR TIERED OFFER</t>
  </si>
  <si>
    <t>24-001 POLAR &amp; ADDT'L PAIR TIERED OFFER</t>
  </si>
  <si>
    <t>Ship Date: 02/02/24</t>
  </si>
  <si>
    <t>Arrival Date &amp; GSO Up Date: 02/05/24</t>
  </si>
  <si>
    <t>Ship Method: UPS NEXT DAY AIR SAVER</t>
  </si>
  <si>
    <t>Live Date: 02/06/24</t>
  </si>
  <si>
    <t>Down Date: 12/31/24</t>
  </si>
  <si>
    <t>Discard Date: TBD</t>
  </si>
  <si>
    <t>Overage Ship Date: 02/05/24</t>
  </si>
  <si>
    <t>POLAR &amp; ADDT'L PAIR TIERED OFFER SIGNS</t>
  </si>
  <si>
    <t>6x2.8 20% Off Polar or BOGO 50% Off</t>
  </si>
  <si>
    <t>5x5 MAGNET BLACK SIGN 20% Off Polar or BOGO 50% Off</t>
  </si>
  <si>
    <t xml:space="preserve">COUVETTE BLACK SIGN 20% Off Polar or BOGO 50% Off </t>
  </si>
  <si>
    <t>SGO 24-001-01</t>
  </si>
  <si>
    <t>SGO 24-001-02</t>
  </si>
  <si>
    <t>SGO 24-001-03</t>
  </si>
  <si>
    <t>BPS #</t>
  </si>
  <si>
    <t>STORE #</t>
  </si>
  <si>
    <t>TITLE</t>
  </si>
  <si>
    <t>ADDRESS</t>
  </si>
  <si>
    <t>CITY</t>
  </si>
  <si>
    <t>STATE</t>
  </si>
  <si>
    <t>ZIP</t>
  </si>
  <si>
    <t>COUNTRY</t>
  </si>
  <si>
    <t>REGION</t>
  </si>
  <si>
    <t>PHONE</t>
  </si>
  <si>
    <t>REGIONAL MANAGER</t>
  </si>
  <si>
    <t>SQ. FT.</t>
  </si>
  <si>
    <t>STORE DESIGN</t>
  </si>
  <si>
    <t>NRR OPENING DATE</t>
  </si>
  <si>
    <t>HAVEN FIXTURE</t>
  </si>
  <si>
    <t>OLD FIXTURE
Cocoons Fixture (Y/N)</t>
  </si>
  <si>
    <t>OAKLEY REPLACEMENT 
LENS FIXTURE (Y/N)</t>
  </si>
  <si>
    <t>DIGITAL BOX</t>
  </si>
  <si>
    <t>TYPE OF WALLS (Single, Double, Triple)</t>
  </si>
  <si>
    <t># Of WALLS</t>
  </si>
  <si>
    <t># GONDOLAS</t>
  </si>
  <si>
    <t># CAPACITY/
PROMO TABLES</t>
  </si>
  <si>
    <t xml:space="preserve"># LIGHT BOXES </t>
  </si>
  <si>
    <t>LIGHTBOX GRAPHIC DIMENSIONS #1</t>
  </si>
  <si>
    <t>LIGHTBOX GRAPHIC DIMENSIONS #2</t>
  </si>
  <si>
    <t>LIGHTBOX GRAPHIC DIMENSIONS #3</t>
  </si>
  <si>
    <t>LIGHTBOX GRAPHIC DIMENSIONS #4</t>
  </si>
  <si>
    <t>METAL LOGO PLATES
Y/N?</t>
  </si>
  <si>
    <t>ACCESSORIES LOCATION</t>
  </si>
  <si>
    <t>STUDIO / BURN</t>
  </si>
  <si>
    <t>SALT OR FRESH</t>
  </si>
  <si>
    <t>OO OR COSTA LEADING</t>
  </si>
  <si>
    <t>REMODELED</t>
  </si>
  <si>
    <t>ACTUAL CAPACITY</t>
  </si>
  <si>
    <t>LOW/MEDIUM RISK CAPACITY</t>
  </si>
  <si>
    <t>IDEAL CAPACITY</t>
  </si>
  <si>
    <t>GONDOLA COUVETTES</t>
  </si>
  <si>
    <t>(RUST) LOGO HOLDER COUVETTE</t>
  </si>
  <si>
    <t>2 SKU DISPLAY
3039142</t>
  </si>
  <si>
    <t>3 SKU DISPLAY
3039140</t>
  </si>
  <si>
    <t>SADDLE
3039143</t>
  </si>
  <si>
    <t>4x4 BLOCK</t>
  </si>
  <si>
    <t>MIRROR
3039145</t>
  </si>
  <si>
    <t>HOOKS
3039146</t>
  </si>
  <si>
    <t>TRAY
3039147</t>
  </si>
  <si>
    <t>OPEN METAL BOX
3039148</t>
  </si>
  <si>
    <t>OPEN PLEXI BOX
3039149</t>
  </si>
  <si>
    <t>HYBRID GLORIFIERS
7.87"x1.09"</t>
  </si>
  <si>
    <t>L-TOOLS
6.75" x 1.28"</t>
  </si>
  <si>
    <t>METAL GLORIFIER</t>
  </si>
  <si>
    <t>METAL CLIP
(pack of 10)
3039152</t>
  </si>
  <si>
    <t>BOUY
3039153</t>
  </si>
  <si>
    <t>RB SUPERNOVA</t>
  </si>
  <si>
    <t>* BEING REMOVED 10/2023*
RB STORIES</t>
  </si>
  <si>
    <t>MEMPHIS PYRAMID BASS PRO SHOPS</t>
  </si>
  <si>
    <t>1 Bass Pro Dr</t>
  </si>
  <si>
    <t>MEMPHIS</t>
  </si>
  <si>
    <t>TN</t>
  </si>
  <si>
    <t>US</t>
  </si>
  <si>
    <t>US/Central</t>
  </si>
  <si>
    <t>901-291-8200</t>
  </si>
  <si>
    <t>Jess Kramer</t>
  </si>
  <si>
    <t>HYBRID</t>
  </si>
  <si>
    <t>LARGE</t>
  </si>
  <si>
    <t>4 promo tables</t>
  </si>
  <si>
    <t>(2) 34.5"x104"
(4) 89.75"x104"
(2) 97.75"x104"
(2) 133.75"x104"</t>
  </si>
  <si>
    <t>wall bay</t>
  </si>
  <si>
    <t>Burn</t>
  </si>
  <si>
    <t>FRESH</t>
  </si>
  <si>
    <t>COSTA</t>
  </si>
  <si>
    <t>500-700-900</t>
  </si>
  <si>
    <t>2 (polar &amp; chromance)</t>
  </si>
  <si>
    <t>CA</t>
  </si>
  <si>
    <t>NEW 2023 RUST STORE DESIGN</t>
  </si>
  <si>
    <t>Rust</t>
  </si>
  <si>
    <t>Niles - Bass Pro Shops</t>
  </si>
  <si>
    <t>2390 Niles Cortland Rd SE</t>
  </si>
  <si>
    <t>Warren</t>
  </si>
  <si>
    <t>OH</t>
  </si>
  <si>
    <t>RUST</t>
  </si>
  <si>
    <t>S RUST PLANNED</t>
  </si>
  <si>
    <t>A762</t>
  </si>
  <si>
    <t xml:space="preserve">Morgantown -Bass Pro </t>
  </si>
  <si>
    <t>200 Bass Pro Dr</t>
  </si>
  <si>
    <t xml:space="preserve">Morgantown </t>
  </si>
  <si>
    <t>WV</t>
  </si>
  <si>
    <t>US/Eastern</t>
  </si>
  <si>
    <t>681-285-6400</t>
  </si>
  <si>
    <t>Jennifer Jackson</t>
  </si>
  <si>
    <t>SGO DESIGN</t>
  </si>
  <si>
    <t>NO</t>
  </si>
  <si>
    <t>n</t>
  </si>
  <si>
    <t>MEMPHIS BARREL</t>
  </si>
  <si>
    <t>Burn_TBR</t>
  </si>
  <si>
    <t>C072</t>
  </si>
  <si>
    <t>C072 Fort Myers-Bass Pro Shops</t>
  </si>
  <si>
    <t>10040 Gulf Center Dr</t>
  </si>
  <si>
    <t>FORT MYERS</t>
  </si>
  <si>
    <t>FL</t>
  </si>
  <si>
    <t>33913-8961</t>
  </si>
  <si>
    <t>239-461-7862</t>
  </si>
  <si>
    <t>Omar Arroyo</t>
  </si>
  <si>
    <t>Double</t>
  </si>
  <si>
    <t>46"x75"</t>
  </si>
  <si>
    <t>SALT</t>
  </si>
  <si>
    <t>C073</t>
  </si>
  <si>
    <t>C073 DANIA-Bass Pro Shops</t>
  </si>
  <si>
    <t>200 Gulf Stream Way</t>
  </si>
  <si>
    <t>DANIA</t>
  </si>
  <si>
    <t>33004-2117</t>
  </si>
  <si>
    <t>954-924-5262</t>
  </si>
  <si>
    <t>1315, updated to 1229</t>
  </si>
  <si>
    <t>Triple</t>
  </si>
  <si>
    <t>C074</t>
  </si>
  <si>
    <t>Tampa-Bass Pro Shops</t>
  </si>
  <si>
    <t>10501 Palm River Rd</t>
  </si>
  <si>
    <t>TAMPA</t>
  </si>
  <si>
    <t>33619-4570</t>
  </si>
  <si>
    <t>813-655-2462</t>
  </si>
  <si>
    <t>Double, Double</t>
  </si>
  <si>
    <t>C075</t>
  </si>
  <si>
    <t>C075 DESTIN-Bass Pro Shops</t>
  </si>
  <si>
    <t>4301 Legendary Dr</t>
  </si>
  <si>
    <t>DESTIN</t>
  </si>
  <si>
    <t>32541-5391</t>
  </si>
  <si>
    <t>850-269-6262</t>
  </si>
  <si>
    <t>Joseph Neill</t>
  </si>
  <si>
    <t>C076</t>
  </si>
  <si>
    <t>C076 ORLANDO-Bass Pro Shops</t>
  </si>
  <si>
    <t>5156 International Dr</t>
  </si>
  <si>
    <t>ORLANDO</t>
  </si>
  <si>
    <t>32819-9423</t>
  </si>
  <si>
    <t>407-563-5262</t>
  </si>
  <si>
    <t>C077</t>
  </si>
  <si>
    <t>C077 ISLAMORADA-Bass Pro Shops</t>
  </si>
  <si>
    <t>81576 Overseas Hwy</t>
  </si>
  <si>
    <t>ISLAMORADA</t>
  </si>
  <si>
    <t>33036-3701</t>
  </si>
  <si>
    <t>305-517-2262</t>
  </si>
  <si>
    <t>DOUBLE</t>
  </si>
  <si>
    <t>2 SMALL</t>
  </si>
  <si>
    <t>Burn CU store</t>
  </si>
  <si>
    <t>C078</t>
  </si>
  <si>
    <t>Miami - Bass Pro Shops</t>
  </si>
  <si>
    <t>11551 Nw 12Th St</t>
  </si>
  <si>
    <t>MIAMI</t>
  </si>
  <si>
    <t>33172-6901</t>
  </si>
  <si>
    <t>305-341-4262</t>
  </si>
  <si>
    <t>C079</t>
  </si>
  <si>
    <t>C079 SAN ANTONIO-Bass Pro Shops</t>
  </si>
  <si>
    <t>17907 W Interstate 10</t>
  </si>
  <si>
    <t>SAN ANTONIO</t>
  </si>
  <si>
    <t>TX</t>
  </si>
  <si>
    <t>78257-9531</t>
  </si>
  <si>
    <t>210-253-8862</t>
  </si>
  <si>
    <t>Sergio Hernandez</t>
  </si>
  <si>
    <t>C080</t>
  </si>
  <si>
    <t>C080 HANOVER (Arundel Mills)-Bass Pro Shops</t>
  </si>
  <si>
    <t>7000 Arundel Mills Cir</t>
  </si>
  <si>
    <t>HANOVER</t>
  </si>
  <si>
    <t>MD</t>
  </si>
  <si>
    <t>21076-1357</t>
  </si>
  <si>
    <t>410-689-2562</t>
  </si>
  <si>
    <t>Tiffany Holloman</t>
  </si>
  <si>
    <t>596, updated to 944</t>
  </si>
  <si>
    <t>C081</t>
  </si>
  <si>
    <t>C081 LAWRENCEVILLE (Discover)-Bass Pro Shops</t>
  </si>
  <si>
    <t>5900 Sugarloaf Pkwy</t>
  </si>
  <si>
    <t>LAWRENCEVILLE</t>
  </si>
  <si>
    <t>GA</t>
  </si>
  <si>
    <t>30043-7839</t>
  </si>
  <si>
    <t>678-847-5562</t>
  </si>
  <si>
    <t>Terique Walker</t>
  </si>
  <si>
    <t>Double, Single</t>
  </si>
  <si>
    <t>C082</t>
  </si>
  <si>
    <t>C082 BOSSIER CITY-Bass Pro Shops</t>
  </si>
  <si>
    <t>100 Bass Pro Dr</t>
  </si>
  <si>
    <t>BOSSIER CITY</t>
  </si>
  <si>
    <t>LA</t>
  </si>
  <si>
    <t>71111-4365</t>
  </si>
  <si>
    <t>318-549-8862</t>
  </si>
  <si>
    <t>Cari Bradford</t>
  </si>
  <si>
    <t>C083</t>
  </si>
  <si>
    <t>C083 GRAPEVINE (Dallas)-Bass Pro Shops</t>
  </si>
  <si>
    <t>2501 Bass Pro Dr</t>
  </si>
  <si>
    <t>GRAPEVINE</t>
  </si>
  <si>
    <t>76051-2009</t>
  </si>
  <si>
    <t>972-691-5262</t>
  </si>
  <si>
    <t>Jennifer Wilke</t>
  </si>
  <si>
    <t>Single, Single</t>
  </si>
  <si>
    <t>C084</t>
  </si>
  <si>
    <t>C084 HAMPTON-Bass Pro Shops</t>
  </si>
  <si>
    <t>1972 Power Plant Pkwy</t>
  </si>
  <si>
    <t>HAMPTON</t>
  </si>
  <si>
    <t>VA</t>
  </si>
  <si>
    <t>23666-3156</t>
  </si>
  <si>
    <t>757-262-5262</t>
  </si>
  <si>
    <t>Melody Bell</t>
  </si>
  <si>
    <t>C085</t>
  </si>
  <si>
    <t>C085 SAVANNAH-Bass Pro Shops</t>
  </si>
  <si>
    <t>14045 Abercorn St</t>
  </si>
  <si>
    <t>SAVANNAH</t>
  </si>
  <si>
    <t>31419-1958</t>
  </si>
  <si>
    <t>912-961-4262</t>
  </si>
  <si>
    <t>C086</t>
  </si>
  <si>
    <t>C086 DAYTONA BEACH-Bass Pro Shops</t>
  </si>
  <si>
    <t>1880 Checkered Flag Blvd</t>
  </si>
  <si>
    <t>DAYTONA BEACH</t>
  </si>
  <si>
    <t>32114-1266</t>
  </si>
  <si>
    <t>386-281-4362</t>
  </si>
  <si>
    <t>Alicia Lacayo</t>
  </si>
  <si>
    <t>C087</t>
  </si>
  <si>
    <t>C087 MYRTLE BEACH-Bass Pro Shops</t>
  </si>
  <si>
    <t>10177 N Kings Hwy</t>
  </si>
  <si>
    <t>MYRTLE BEACH</t>
  </si>
  <si>
    <t>SC</t>
  </si>
  <si>
    <t>29572-4032</t>
  </si>
  <si>
    <t>843-361-4862</t>
  </si>
  <si>
    <t>Carrie Smith</t>
  </si>
  <si>
    <t>SMALL</t>
  </si>
  <si>
    <t>C088</t>
  </si>
  <si>
    <t>C088 DENHAM SPRINGS-Bass Pro Shops</t>
  </si>
  <si>
    <t>175 Bass Pro Blvd</t>
  </si>
  <si>
    <t>DENHAM SPRINGS</t>
  </si>
  <si>
    <t>70726-5572</t>
  </si>
  <si>
    <t>225-271-3162</t>
  </si>
  <si>
    <t>Grace Wiland</t>
  </si>
  <si>
    <t>C089</t>
  </si>
  <si>
    <t>C089 SPRINGFIELD-Bass Pro Shops</t>
  </si>
  <si>
    <t>1935 S Campbell Ave</t>
  </si>
  <si>
    <t>SPRINGFIELD</t>
  </si>
  <si>
    <t>MO</t>
  </si>
  <si>
    <t>65807-2650</t>
  </si>
  <si>
    <t>417-891-5262</t>
  </si>
  <si>
    <t>U</t>
  </si>
  <si>
    <t>Double, Double, Double</t>
  </si>
  <si>
    <t>C090</t>
  </si>
  <si>
    <t>C090 NASHVILLE-Bass Pro Shops</t>
  </si>
  <si>
    <t>323 Opry Mills Dr</t>
  </si>
  <si>
    <t>NASHVILLE</t>
  </si>
  <si>
    <t>37214-2436</t>
  </si>
  <si>
    <t>615-514-5262</t>
  </si>
  <si>
    <t>Brandon Barrett</t>
  </si>
  <si>
    <t>C091</t>
  </si>
  <si>
    <t>Port St Lucie-Bass Pro Shops</t>
  </si>
  <si>
    <t>2250 Sw Gatlin Blvd</t>
  </si>
  <si>
    <t>PORT ST LUCIE</t>
  </si>
  <si>
    <t>34953-2753</t>
  </si>
  <si>
    <t>772-785-7662</t>
  </si>
  <si>
    <t>C092</t>
  </si>
  <si>
    <t>C092 KATY-Bass Pro Shops</t>
  </si>
  <si>
    <t>5000 Katy Mills Cir</t>
  </si>
  <si>
    <t>KATY</t>
  </si>
  <si>
    <t>77494-4411</t>
  </si>
  <si>
    <t>281-644-2262</t>
  </si>
  <si>
    <t>Dawn Bobbitt</t>
  </si>
  <si>
    <t>C093</t>
  </si>
  <si>
    <t>C093 RANCHO CUCAMONGA-Bass Pro Shops</t>
  </si>
  <si>
    <t>7777 Victoria Gardens Ln</t>
  </si>
  <si>
    <t>RANCHO CUCAMONGA</t>
  </si>
  <si>
    <t>91739-7511</t>
  </si>
  <si>
    <t>US/Pacific</t>
  </si>
  <si>
    <t>909-922-5562</t>
  </si>
  <si>
    <t>Garrett Spaeth</t>
  </si>
  <si>
    <t>OAKLEY</t>
  </si>
  <si>
    <t>C094</t>
  </si>
  <si>
    <t>C094 PEARL-Bass Pro Shops</t>
  </si>
  <si>
    <t>PEARL</t>
  </si>
  <si>
    <t>MS</t>
  </si>
  <si>
    <t>39208-9235</t>
  </si>
  <si>
    <t>601-933-3762</t>
  </si>
  <si>
    <t>C095</t>
  </si>
  <si>
    <t>Gainesville-Bass Pro Shops</t>
  </si>
  <si>
    <t>2650 Bass Pro Shops Blvd</t>
  </si>
  <si>
    <t>GAINESVILLE</t>
  </si>
  <si>
    <t>32608-0074</t>
  </si>
  <si>
    <t>352-204-4162</t>
  </si>
  <si>
    <t>C096</t>
  </si>
  <si>
    <t>Hanover County / Ashland - BPS</t>
  </si>
  <si>
    <t>11550 N Lakeridge Pkwy</t>
  </si>
  <si>
    <t>ASHLAND</t>
  </si>
  <si>
    <t>23005-8047</t>
  </si>
  <si>
    <t>804-496-4762</t>
  </si>
  <si>
    <t>C097</t>
  </si>
  <si>
    <t>C097 CONCORD-Bass Pro Shops</t>
  </si>
  <si>
    <t>8181 Concord Mills Blvd</t>
  </si>
  <si>
    <t>CONCORD</t>
  </si>
  <si>
    <t>NC</t>
  </si>
  <si>
    <t>28027-6457</t>
  </si>
  <si>
    <t>704-979-2262</t>
  </si>
  <si>
    <t>Rachel Rider</t>
  </si>
  <si>
    <t>C098</t>
  </si>
  <si>
    <t>C098 HOUSTON (Pearland)-Bass Pro Shops</t>
  </si>
  <si>
    <t>1000 Bass Pro Dr</t>
  </si>
  <si>
    <t>HOUSTON</t>
  </si>
  <si>
    <t>77047-4593</t>
  </si>
  <si>
    <t>713-770-5162</t>
  </si>
  <si>
    <t>C099</t>
  </si>
  <si>
    <t>C099 SPANISH FORT-Bass Pro Shops</t>
  </si>
  <si>
    <t>20000 Bass Pro Dr</t>
  </si>
  <si>
    <t>SPANISH FORT</t>
  </si>
  <si>
    <t>AL</t>
  </si>
  <si>
    <t>36527-9424</t>
  </si>
  <si>
    <t>251-607-5962</t>
  </si>
  <si>
    <t>700-900</t>
  </si>
  <si>
    <t>C100</t>
  </si>
  <si>
    <t>C100 FORT WORTH-Cabela's</t>
  </si>
  <si>
    <t>12901 Cabela Dr</t>
  </si>
  <si>
    <t>FORT WORTH</t>
  </si>
  <si>
    <t>76177-3004</t>
  </si>
  <si>
    <t>817-337-2453</t>
  </si>
  <si>
    <t>C101</t>
  </si>
  <si>
    <t>C101 FOXBORO-Bass Pro Shops</t>
  </si>
  <si>
    <t>FOXBOROUGH</t>
  </si>
  <si>
    <t>MA</t>
  </si>
  <si>
    <t>02035-5104</t>
  </si>
  <si>
    <t>508-216-2062</t>
  </si>
  <si>
    <t>Dhefaf Alwazir</t>
  </si>
  <si>
    <t>C102</t>
  </si>
  <si>
    <t>C102 KODAK-Bass Pro Shops</t>
  </si>
  <si>
    <t>3629 Outdoor Sportsman Pl</t>
  </si>
  <si>
    <t>KODAK</t>
  </si>
  <si>
    <t>37764-1474</t>
  </si>
  <si>
    <t>865-932-5662</t>
  </si>
  <si>
    <t>C103</t>
  </si>
  <si>
    <t>C103 LITTLE ROCK-Bass Pro Shops</t>
  </si>
  <si>
    <t>LITTLE ROCK</t>
  </si>
  <si>
    <t>AR</t>
  </si>
  <si>
    <t>72210-3055</t>
  </si>
  <si>
    <t>501-954-4562</t>
  </si>
  <si>
    <t>C104</t>
  </si>
  <si>
    <t>C104 DENVER-Bass Pro Shops</t>
  </si>
  <si>
    <t>7970 E Northfield Blvd</t>
  </si>
  <si>
    <t>DENVER</t>
  </si>
  <si>
    <t>CO</t>
  </si>
  <si>
    <t>80238-3527</t>
  </si>
  <si>
    <t>US/Mountain</t>
  </si>
  <si>
    <t>720-385-3662</t>
  </si>
  <si>
    <t>Val Sulkey</t>
  </si>
  <si>
    <t>C105</t>
  </si>
  <si>
    <t>C105 ROUND ROCK-Bass Pro Shops</t>
  </si>
  <si>
    <t>ROUND ROCK</t>
  </si>
  <si>
    <t>78665-2474</t>
  </si>
  <si>
    <t>512-876-2762</t>
  </si>
  <si>
    <t>Terri Sims</t>
  </si>
  <si>
    <t>C106</t>
  </si>
  <si>
    <t>C106 MACON-Bass Pro Shops</t>
  </si>
  <si>
    <t>5000 Bass Pro Blvd</t>
  </si>
  <si>
    <t>MACON</t>
  </si>
  <si>
    <t>31210-5775</t>
  </si>
  <si>
    <t>478-757-7662</t>
  </si>
  <si>
    <t>C107</t>
  </si>
  <si>
    <t>Gonzales-Cabela's</t>
  </si>
  <si>
    <t>2200 W Cabela Pkwy</t>
  </si>
  <si>
    <t>GONZALES</t>
  </si>
  <si>
    <t>70737-5154</t>
  </si>
  <si>
    <t>225-743-3406</t>
  </si>
  <si>
    <t>C108</t>
  </si>
  <si>
    <t>C108 BUDA-Cabela's</t>
  </si>
  <si>
    <t>15570 S Interstate 35</t>
  </si>
  <si>
    <t>BUDA</t>
  </si>
  <si>
    <t>78610-3386</t>
  </si>
  <si>
    <t>512-295-2492</t>
  </si>
  <si>
    <t>C109</t>
  </si>
  <si>
    <t>C109 HARLINGEN-Bass Pro Shops</t>
  </si>
  <si>
    <t>101 Bass Pro Dr</t>
  </si>
  <si>
    <t>HARLINGEN</t>
  </si>
  <si>
    <t>78552-3413</t>
  </si>
  <si>
    <t>956-291-5262</t>
  </si>
  <si>
    <t>C110</t>
  </si>
  <si>
    <t>Palm Bay-Bass Pro Shops</t>
  </si>
  <si>
    <t>750 Bass Pro Dr Ne</t>
  </si>
  <si>
    <t>PALM BAY</t>
  </si>
  <si>
    <t>32905-6324</t>
  </si>
  <si>
    <t>321-674-3762</t>
  </si>
  <si>
    <t>C111</t>
  </si>
  <si>
    <t>C111 ROCKLIN-Bass Pro Shops</t>
  </si>
  <si>
    <t>5472 Crossings Dr</t>
  </si>
  <si>
    <t>ROCKLIN</t>
  </si>
  <si>
    <t>95677-3919</t>
  </si>
  <si>
    <t>916-251-3862</t>
  </si>
  <si>
    <t>Mike Cocchi</t>
  </si>
  <si>
    <t>C112</t>
  </si>
  <si>
    <t>C112 GARLAND-Bass Pro Shops</t>
  </si>
  <si>
    <t>5001 Bass Pro Dr</t>
  </si>
  <si>
    <t>GARLAND</t>
  </si>
  <si>
    <t>75043-4835</t>
  </si>
  <si>
    <t>469-221-2662</t>
  </si>
  <si>
    <t>C113</t>
  </si>
  <si>
    <t>C113 LEAGUE CITY-Cabela's</t>
  </si>
  <si>
    <t>2421 Gulf Fwy S</t>
  </si>
  <si>
    <t>LEAGUE CITY</t>
  </si>
  <si>
    <t>77573-6818</t>
  </si>
  <si>
    <t>346-231-0157</t>
  </si>
  <si>
    <t>C114</t>
  </si>
  <si>
    <t>C114 PRATTVILLE-Bass Pro Shops</t>
  </si>
  <si>
    <t>2553 Rocky Mount Rd</t>
  </si>
  <si>
    <t>PRATTVILLE</t>
  </si>
  <si>
    <t>36066-6539</t>
  </si>
  <si>
    <t>334-290-6462</t>
  </si>
  <si>
    <t>C115</t>
  </si>
  <si>
    <t>C115 ACWORTH-Cabela's</t>
  </si>
  <si>
    <t>152 Northpoint Pkwy</t>
  </si>
  <si>
    <t>ACWORTH</t>
  </si>
  <si>
    <t>30102-2082</t>
  </si>
  <si>
    <t>470-315-7552</t>
  </si>
  <si>
    <t>C116</t>
  </si>
  <si>
    <t>C116 Vaughan-Bass Pro Shops</t>
  </si>
  <si>
    <t>1 Bass Pro Mills Dr</t>
  </si>
  <si>
    <t>Vaughan</t>
  </si>
  <si>
    <t>ON</t>
  </si>
  <si>
    <t>L4K5W4</t>
  </si>
  <si>
    <t>Canada/Eastern</t>
  </si>
  <si>
    <t>905-761-4062</t>
  </si>
  <si>
    <t>Stephanie Clayton</t>
  </si>
  <si>
    <t>C117</t>
  </si>
  <si>
    <t>C117 LEEDS-Bass Pro Shops</t>
  </si>
  <si>
    <t>LEEDS</t>
  </si>
  <si>
    <t>35094-8300</t>
  </si>
  <si>
    <t>205-702-7562</t>
  </si>
  <si>
    <t>C118</t>
  </si>
  <si>
    <t>C118 NEWARK-Cabela's</t>
  </si>
  <si>
    <t>1100 Christiana Mall</t>
  </si>
  <si>
    <t>NEWARK</t>
  </si>
  <si>
    <t>DE</t>
  </si>
  <si>
    <t>19702-3237</t>
  </si>
  <si>
    <t>302-266-2241</t>
  </si>
  <si>
    <t>Meghan McNamee</t>
  </si>
  <si>
    <t>C119</t>
  </si>
  <si>
    <t>Scarborough-Cabela's</t>
  </si>
  <si>
    <t>100 Cabela Blvd</t>
  </si>
  <si>
    <t>SCARBOROUGH</t>
  </si>
  <si>
    <t>ME</t>
  </si>
  <si>
    <t>04074-5507</t>
  </si>
  <si>
    <t>207-883-7412</t>
  </si>
  <si>
    <t>Dana Kost</t>
  </si>
  <si>
    <t>C120</t>
  </si>
  <si>
    <t>Hamburg-Cabela's</t>
  </si>
  <si>
    <t>100 Cabela Dr</t>
  </si>
  <si>
    <t>HAMBURG</t>
  </si>
  <si>
    <t>PA</t>
  </si>
  <si>
    <t>19526-8777</t>
  </si>
  <si>
    <t>610-929-7032</t>
  </si>
  <si>
    <t>Kailin McDonald</t>
  </si>
  <si>
    <t>C121</t>
  </si>
  <si>
    <t>C121 BROKEN ARROW-Bass Pro Shops</t>
  </si>
  <si>
    <t>BROKEN ARROW</t>
  </si>
  <si>
    <t>OK</t>
  </si>
  <si>
    <t>74012-1018</t>
  </si>
  <si>
    <t>918-355-7662</t>
  </si>
  <si>
    <t>C122</t>
  </si>
  <si>
    <t>C122 ALLEN-Cabela's</t>
  </si>
  <si>
    <t>1 Cabela Dr</t>
  </si>
  <si>
    <t>ALLEN</t>
  </si>
  <si>
    <t>75002-2816</t>
  </si>
  <si>
    <t>214-383-0522</t>
  </si>
  <si>
    <t>C123</t>
  </si>
  <si>
    <t>C123 GARNER-Cabela's</t>
  </si>
  <si>
    <t>201 Cabela Drive</t>
  </si>
  <si>
    <t>GARNER</t>
  </si>
  <si>
    <t>27529</t>
  </si>
  <si>
    <t>984-204-2232</t>
  </si>
  <si>
    <t>C124</t>
  </si>
  <si>
    <t>C124 Cary-Bass Pro Shops</t>
  </si>
  <si>
    <t>801 Bass Pro Ln</t>
  </si>
  <si>
    <t>CARY</t>
  </si>
  <si>
    <t>27513-2420</t>
  </si>
  <si>
    <t>919-677-5162</t>
  </si>
  <si>
    <t>C125</t>
  </si>
  <si>
    <t>C125 GREENVILLE-Cabela's</t>
  </si>
  <si>
    <t>1025 Woodruff Rd</t>
  </si>
  <si>
    <t>GREENVILLE</t>
  </si>
  <si>
    <t>29607-4146</t>
  </si>
  <si>
    <t>864-516-8032</t>
  </si>
  <si>
    <t>C126</t>
  </si>
  <si>
    <t>C126 LAS VEGAS-Bass Pro Shops</t>
  </si>
  <si>
    <t>8200 Dean Martin Dr</t>
  </si>
  <si>
    <t>LAS VEGAS</t>
  </si>
  <si>
    <t>NV</t>
  </si>
  <si>
    <t>89139-7885</t>
  </si>
  <si>
    <t>702-730-5262</t>
  </si>
  <si>
    <t>Mimi Elia</t>
  </si>
  <si>
    <t>C127</t>
  </si>
  <si>
    <t>C127 MANTECA-Bass Pro Shops</t>
  </si>
  <si>
    <t>1356 Bass Pro Dr</t>
  </si>
  <si>
    <t>MANTECA</t>
  </si>
  <si>
    <t>95337-9501</t>
  </si>
  <si>
    <t>209-825-8462</t>
  </si>
  <si>
    <t>C128</t>
  </si>
  <si>
    <t>C128 MESA-Bass Pro Shops</t>
  </si>
  <si>
    <t>1133 N Dobson Rd</t>
  </si>
  <si>
    <t>MESA</t>
  </si>
  <si>
    <t>AZ</t>
  </si>
  <si>
    <t>85201-7584</t>
  </si>
  <si>
    <t>602-606-5662</t>
  </si>
  <si>
    <t>Steve Cooper</t>
  </si>
  <si>
    <t>C129</t>
  </si>
  <si>
    <t>C129 SAN JOSE-Bass Pro Shops</t>
  </si>
  <si>
    <t>5160 Cherry Ave</t>
  </si>
  <si>
    <t>SAN JOSE</t>
  </si>
  <si>
    <t>95118-3707</t>
  </si>
  <si>
    <t>669-234-5762</t>
  </si>
  <si>
    <t>Jennifer DeVore</t>
  </si>
  <si>
    <t>C130</t>
  </si>
  <si>
    <t>St. Charles-Bass Pro Shops</t>
  </si>
  <si>
    <t>1365 S 5Th St</t>
  </si>
  <si>
    <t>ST CHARLES</t>
  </si>
  <si>
    <t>63301-2457</t>
  </si>
  <si>
    <t>636-688-2562</t>
  </si>
  <si>
    <t>Matthew Blanc</t>
  </si>
  <si>
    <t>?</t>
  </si>
  <si>
    <t>C131</t>
  </si>
  <si>
    <t>C131 BOLINGBROOK-Bass Pro Shops</t>
  </si>
  <si>
    <t>709 Janes Ave</t>
  </si>
  <si>
    <t>BOLINGBROOK</t>
  </si>
  <si>
    <t>IL</t>
  </si>
  <si>
    <t>60440-1240</t>
  </si>
  <si>
    <t>630-296-2762</t>
  </si>
  <si>
    <t>Brittany Lane</t>
  </si>
  <si>
    <t>C132</t>
  </si>
  <si>
    <t>C132 BRANSON-Bass Pro Shops</t>
  </si>
  <si>
    <t>BRANSON</t>
  </si>
  <si>
    <t>65616-2096</t>
  </si>
  <si>
    <t>417-243-5262</t>
  </si>
  <si>
    <t>C133</t>
  </si>
  <si>
    <t>C133 HOOKSETT-Bass Pro Shops</t>
  </si>
  <si>
    <t>2 Commerce Dr</t>
  </si>
  <si>
    <t>HOOKSETT</t>
  </si>
  <si>
    <t>NH</t>
  </si>
  <si>
    <t>03106-2528</t>
  </si>
  <si>
    <t>603-541-5262</t>
  </si>
  <si>
    <t>C134</t>
  </si>
  <si>
    <t>C134 CINCINNATI-Bass Pro Shops</t>
  </si>
  <si>
    <t>300 Cincinnati Mills Dr</t>
  </si>
  <si>
    <t>CINCINNATI</t>
  </si>
  <si>
    <t>45240-1255</t>
  </si>
  <si>
    <t>513-826-5262</t>
  </si>
  <si>
    <t>Kalah Stockman</t>
  </si>
  <si>
    <t>C135</t>
  </si>
  <si>
    <t>C135 ROGERS-Cabela's</t>
  </si>
  <si>
    <t>20200 Rogers Dr</t>
  </si>
  <si>
    <t>ROGERS</t>
  </si>
  <si>
    <t>MN</t>
  </si>
  <si>
    <t>55374-4716</t>
  </si>
  <si>
    <t>763-493-8665</t>
  </si>
  <si>
    <t>Julio Castorena</t>
  </si>
  <si>
    <t>TRIPLE</t>
  </si>
  <si>
    <t>C136</t>
  </si>
  <si>
    <t>C136 DUNDEE-Cabela's</t>
  </si>
  <si>
    <t>110 Cabelas Blvd E</t>
  </si>
  <si>
    <t>DUNDEE</t>
  </si>
  <si>
    <t>MI</t>
  </si>
  <si>
    <t>48131-9693</t>
  </si>
  <si>
    <t>734-529-4752</t>
  </si>
  <si>
    <t>Miguel Cortez</t>
  </si>
  <si>
    <t>C137</t>
  </si>
  <si>
    <t>C137 LONE TREE-Cabela's</t>
  </si>
  <si>
    <t>10670 Cabela Dr</t>
  </si>
  <si>
    <t>LONE TREE</t>
  </si>
  <si>
    <t>80124-5371</t>
  </si>
  <si>
    <t>303-625-9942</t>
  </si>
  <si>
    <t>C138</t>
  </si>
  <si>
    <t>C138 CHATTANOOGA-Bass Pro Shops</t>
  </si>
  <si>
    <t>CHATTANOOGA</t>
  </si>
  <si>
    <t>37412-2170</t>
  </si>
  <si>
    <t>423-242-4362</t>
  </si>
  <si>
    <t>C139</t>
  </si>
  <si>
    <t>Clarksville-Bass Pro Shops</t>
  </si>
  <si>
    <t>951 E Lewis And Clark Pkwy</t>
  </si>
  <si>
    <t>CLARKSVILLE</t>
  </si>
  <si>
    <t>IN</t>
  </si>
  <si>
    <t>47129-7402</t>
  </si>
  <si>
    <t>812-218-5562</t>
  </si>
  <si>
    <t>CJ Marschke</t>
  </si>
  <si>
    <t>C140</t>
  </si>
  <si>
    <t>C140 FORT MILL-Cabela's</t>
  </si>
  <si>
    <t>1000 Cabelas Dr</t>
  </si>
  <si>
    <t>FORT MILL</t>
  </si>
  <si>
    <t>29708-7211</t>
  </si>
  <si>
    <t>980-337-2532</t>
  </si>
  <si>
    <t>C141</t>
  </si>
  <si>
    <t>C141 HARRISBURG-Bass Pro Shops</t>
  </si>
  <si>
    <t>3501 Paxton St</t>
  </si>
  <si>
    <t>HARRISBURG</t>
  </si>
  <si>
    <t>17111-1487</t>
  </si>
  <si>
    <t>717-565-5262</t>
  </si>
  <si>
    <t>584/589</t>
  </si>
  <si>
    <t>C142</t>
  </si>
  <si>
    <t>C142 POST FALLS-Cabela's</t>
  </si>
  <si>
    <t>101 N Cabela Way</t>
  </si>
  <si>
    <t>POST FALLS</t>
  </si>
  <si>
    <t>ID</t>
  </si>
  <si>
    <t>83854-6522</t>
  </si>
  <si>
    <t>208-777-6330</t>
  </si>
  <si>
    <t>Brian Wilmoth</t>
  </si>
  <si>
    <t>C143</t>
  </si>
  <si>
    <t>C143 AUBURN HILLS-Bass Pro Shops</t>
  </si>
  <si>
    <t>4500 Baldwin Rd</t>
  </si>
  <si>
    <t>AUBURN HILLS</t>
  </si>
  <si>
    <t>48326-1279</t>
  </si>
  <si>
    <t>248-209-4262</t>
  </si>
  <si>
    <t>C144</t>
  </si>
  <si>
    <t>C144 TALLAHASSEE-Bass Pro Shops</t>
  </si>
  <si>
    <t>4059 Lagniappe Way</t>
  </si>
  <si>
    <t>TALLAHASSEE</t>
  </si>
  <si>
    <t>32317-1201</t>
  </si>
  <si>
    <t>850-402-6962</t>
  </si>
  <si>
    <t>C145</t>
  </si>
  <si>
    <t>C145 KANSAS CITY-Cabela's</t>
  </si>
  <si>
    <t>10300 Cabela Dr</t>
  </si>
  <si>
    <t>KANSAS CITY</t>
  </si>
  <si>
    <t>KS</t>
  </si>
  <si>
    <t>66111-1953</t>
  </si>
  <si>
    <t>913-328-3100</t>
  </si>
  <si>
    <t>Stephanie Maxwell</t>
  </si>
  <si>
    <t>Studio</t>
  </si>
  <si>
    <t>C146</t>
  </si>
  <si>
    <t>C146 OKLAHOMA CITY-Bass Pro Shops</t>
  </si>
  <si>
    <t>OKLAHOMA CITY</t>
  </si>
  <si>
    <t>73104-7000</t>
  </si>
  <si>
    <t>405-218-5262</t>
  </si>
  <si>
    <t>833/834</t>
  </si>
  <si>
    <t>C147</t>
  </si>
  <si>
    <t>C147 East Hartford-Cabela's</t>
  </si>
  <si>
    <t>475 E Hartford Blvd N</t>
  </si>
  <si>
    <t>EAST HARTFORD</t>
  </si>
  <si>
    <t>CT</t>
  </si>
  <si>
    <t>06118-1156</t>
  </si>
  <si>
    <t>860-290-6263</t>
  </si>
  <si>
    <t>Lisa Barton</t>
  </si>
  <si>
    <t>C148</t>
  </si>
  <si>
    <t>C148 COLORADO SPRINGS-Bass Pro Shops</t>
  </si>
  <si>
    <t>13012 Bass Pro Dr</t>
  </si>
  <si>
    <t>COLORADO SPRINGS</t>
  </si>
  <si>
    <t>80921-3821</t>
  </si>
  <si>
    <t>719-488-7362</t>
  </si>
  <si>
    <t>Shawn Sullivan</t>
  </si>
  <si>
    <t>C149</t>
  </si>
  <si>
    <t>C149 ALTOONA-Bass Pro Shops</t>
  </si>
  <si>
    <t>ALTOONA</t>
  </si>
  <si>
    <t>IA</t>
  </si>
  <si>
    <t>50009-7600</t>
  </si>
  <si>
    <t>515-957-5562</t>
  </si>
  <si>
    <t>C150</t>
  </si>
  <si>
    <t>C150 TRIDELPHIA (Wheeling) -Cabela's</t>
  </si>
  <si>
    <t>TRIADELPHIA</t>
  </si>
  <si>
    <t>26059-1000</t>
  </si>
  <si>
    <t>304-238-0122</t>
  </si>
  <si>
    <t>548/547</t>
  </si>
  <si>
    <t>C151</t>
  </si>
  <si>
    <t>C151 GLENDALE-Cabela's</t>
  </si>
  <si>
    <t>9380 W Glendale Ave</t>
  </si>
  <si>
    <t>GLENDALE</t>
  </si>
  <si>
    <t>85305-9400</t>
  </si>
  <si>
    <t>623-872-6763</t>
  </si>
  <si>
    <t>SINGLE</t>
  </si>
  <si>
    <t>C152</t>
  </si>
  <si>
    <t>Bristol-Bass Pro Shops</t>
  </si>
  <si>
    <t>BRISTOL</t>
  </si>
  <si>
    <t>37620-1439</t>
  </si>
  <si>
    <t>423-990-5262</t>
  </si>
  <si>
    <t>Allison Adams</t>
  </si>
  <si>
    <t>C153</t>
  </si>
  <si>
    <t>C153 RICHFIELD-Cabela's</t>
  </si>
  <si>
    <t>1 Cabela Way</t>
  </si>
  <si>
    <t>RICHFIELD</t>
  </si>
  <si>
    <t>WI</t>
  </si>
  <si>
    <t>53076-9579</t>
  </si>
  <si>
    <t>262-628-5742</t>
  </si>
  <si>
    <t>Christopher Schmidt</t>
  </si>
  <si>
    <t>C154</t>
  </si>
  <si>
    <t>C154 THORNTON-Cabela's</t>
  </si>
  <si>
    <t>14050 Lincoln St</t>
  </si>
  <si>
    <t>THORNTON</t>
  </si>
  <si>
    <t>80023-9204</t>
  </si>
  <si>
    <t>303-625-6086</t>
  </si>
  <si>
    <t>C155</t>
  </si>
  <si>
    <t>C155 ST PAUL-Cabela's</t>
  </si>
  <si>
    <t>8400 Hudson Rd</t>
  </si>
  <si>
    <t>ST PAUL</t>
  </si>
  <si>
    <t>55125-2547</t>
  </si>
  <si>
    <t>612-255-0089</t>
  </si>
  <si>
    <t>C156</t>
  </si>
  <si>
    <t>C156 GURNEE-Bass Pro Shops</t>
  </si>
  <si>
    <t>6112 Grand Ave</t>
  </si>
  <si>
    <t>GURNEE</t>
  </si>
  <si>
    <t>60031-1650</t>
  </si>
  <si>
    <t>847-782-2562</t>
  </si>
  <si>
    <t>C157</t>
  </si>
  <si>
    <t>C157 INDEPENDENCE-Bass Pro Shops</t>
  </si>
  <si>
    <t>18001 Bass Pro Dr</t>
  </si>
  <si>
    <t>INDEPENDENCE</t>
  </si>
  <si>
    <t>64055-5425</t>
  </si>
  <si>
    <t>816-795-4362</t>
  </si>
  <si>
    <t>C158</t>
  </si>
  <si>
    <t>Portage-Bass Pro Shops</t>
  </si>
  <si>
    <t>6425 Daniel Burnham Dr</t>
  </si>
  <si>
    <t>PORTAGE</t>
  </si>
  <si>
    <t>46368-1695</t>
  </si>
  <si>
    <t>219-787-6862</t>
  </si>
  <si>
    <t>C159</t>
  </si>
  <si>
    <t>Bridgeport-Bass Pro Shops</t>
  </si>
  <si>
    <t>BRIDGEPORT</t>
  </si>
  <si>
    <t>06608-2352</t>
  </si>
  <si>
    <t>203-362-4262</t>
  </si>
  <si>
    <t>C160</t>
  </si>
  <si>
    <t>Rogers, AR-Cabela's</t>
  </si>
  <si>
    <t>2300 S Promenade Blvd</t>
  </si>
  <si>
    <t>72758-9105</t>
  </si>
  <si>
    <t>479-202-0815</t>
  </si>
  <si>
    <t>Rogers/Halifax</t>
  </si>
  <si>
    <t>45.5"x87.5"</t>
  </si>
  <si>
    <t>46"x58"</t>
  </si>
  <si>
    <t>C161</t>
  </si>
  <si>
    <t>C161 EAST PEORIA-Bass Pro Shops</t>
  </si>
  <si>
    <t>EAST PEORIA</t>
  </si>
  <si>
    <t>61611-7502</t>
  </si>
  <si>
    <t>309-427-3462</t>
  </si>
  <si>
    <t>C162</t>
  </si>
  <si>
    <t>C162 OWATONNA-Cabela's</t>
  </si>
  <si>
    <t>3900 Cabelas Dr</t>
  </si>
  <si>
    <t>OWATONNA</t>
  </si>
  <si>
    <t>55060-5648</t>
  </si>
  <si>
    <t>507-444-5137</t>
  </si>
  <si>
    <t>C163</t>
  </si>
  <si>
    <t>C163 GAINESVILLE-Cabela's</t>
  </si>
  <si>
    <t>5291 Wellington Branch Dr</t>
  </si>
  <si>
    <t>20155-4002</t>
  </si>
  <si>
    <t>571-222-9012</t>
  </si>
  <si>
    <t>Zuhal Kattan</t>
  </si>
  <si>
    <t>C164</t>
  </si>
  <si>
    <t>C164 OMAHA (La Vista) -Cabela's</t>
  </si>
  <si>
    <t>12703 Westport Pkwy</t>
  </si>
  <si>
    <t>OMAHA</t>
  </si>
  <si>
    <t>NE</t>
  </si>
  <si>
    <t>68138-4006</t>
  </si>
  <si>
    <t>402-861-4852</t>
  </si>
  <si>
    <t>C165</t>
  </si>
  <si>
    <t>C165 ATLANTIC CITY-Bass Pro Shops</t>
  </si>
  <si>
    <t>30 N Christopher Columbus Blvd</t>
  </si>
  <si>
    <t>ATLANTIC CITY</t>
  </si>
  <si>
    <t>NJ</t>
  </si>
  <si>
    <t>08401</t>
  </si>
  <si>
    <t>609-449-4562</t>
  </si>
  <si>
    <t>C166</t>
  </si>
  <si>
    <t>C166 GRAND JUNCTION-Cabela's</t>
  </si>
  <si>
    <t>2424 Us Hwy 6 And 50</t>
  </si>
  <si>
    <t>GRAND JUNCTION</t>
  </si>
  <si>
    <t>81505</t>
  </si>
  <si>
    <t>970-683-5032</t>
  </si>
  <si>
    <t>C167</t>
  </si>
  <si>
    <t>C167 VERDI (Reno)-Cabela's</t>
  </si>
  <si>
    <t>8650 Boomtown Road</t>
  </si>
  <si>
    <t>VERDI</t>
  </si>
  <si>
    <t>89439</t>
  </si>
  <si>
    <t>775-829-4122</t>
  </si>
  <si>
    <t>C168</t>
  </si>
  <si>
    <t>C168 OLATHE-Bass Pro Shops</t>
  </si>
  <si>
    <t>12051 Bass Pro Dr</t>
  </si>
  <si>
    <t>OLATHE</t>
  </si>
  <si>
    <t>66061-9535</t>
  </si>
  <si>
    <t>913-254-5262</t>
  </si>
  <si>
    <t>C169</t>
  </si>
  <si>
    <t>C169 COUNCIL BLUFFS-Bass Pro Shops</t>
  </si>
  <si>
    <t>2901 Bass Pro Dr</t>
  </si>
  <si>
    <t>COUNCIL BLUFFS</t>
  </si>
  <si>
    <t>51501-7020</t>
  </si>
  <si>
    <t>712-325-6062</t>
  </si>
  <si>
    <t>C170</t>
  </si>
  <si>
    <t>C170 TACOMA-Bass Pro Shops</t>
  </si>
  <si>
    <t>7905 S Hosmer St</t>
  </si>
  <si>
    <t>TACOMA</t>
  </si>
  <si>
    <t>WA</t>
  </si>
  <si>
    <t>98408-1121</t>
  </si>
  <si>
    <t>253-671-5762</t>
  </si>
  <si>
    <t>C171</t>
  </si>
  <si>
    <t>C171 ANCHORAGE-Cabela's</t>
  </si>
  <si>
    <t>155 W 104Th Ave</t>
  </si>
  <si>
    <t>ANCHORAGE</t>
  </si>
  <si>
    <t>AK</t>
  </si>
  <si>
    <t>99515-2679</t>
  </si>
  <si>
    <t>US/Alaska</t>
  </si>
  <si>
    <t>907-341-3442</t>
  </si>
  <si>
    <t>C172</t>
  </si>
  <si>
    <t>C172 TUALATIN-Cabela's</t>
  </si>
  <si>
    <t>7555 Sw Nyberg St</t>
  </si>
  <si>
    <t>TUALATIN</t>
  </si>
  <si>
    <t>OR</t>
  </si>
  <si>
    <t>97062-9493</t>
  </si>
  <si>
    <t>503-822-2002</t>
  </si>
  <si>
    <t>Cynthia Castaneda</t>
  </si>
  <si>
    <t>C173</t>
  </si>
  <si>
    <t>C173 Niagara-on-the-Lake-Bass Pro Shops</t>
  </si>
  <si>
    <t>300 Taylor Rd</t>
  </si>
  <si>
    <t>Niagara-on-the-Lake</t>
  </si>
  <si>
    <t>L0S1J0</t>
  </si>
  <si>
    <t>905-322-4262</t>
  </si>
  <si>
    <t>Sandra Nowak</t>
  </si>
  <si>
    <t>C174</t>
  </si>
  <si>
    <t>C174 GREEN BAY-Cabela's</t>
  </si>
  <si>
    <t>1499 Lombardi Ave</t>
  </si>
  <si>
    <t>GREEN BAY</t>
  </si>
  <si>
    <t>54304-3970</t>
  </si>
  <si>
    <t>920-264-0142</t>
  </si>
  <si>
    <t>C175</t>
  </si>
  <si>
    <t>C175 MISSOULA-Cabela's</t>
  </si>
  <si>
    <t>3650 Brooks St</t>
  </si>
  <si>
    <t>MISSOULA</t>
  </si>
  <si>
    <t>MT</t>
  </si>
  <si>
    <t>59801-7360</t>
  </si>
  <si>
    <t>406-203-5332</t>
  </si>
  <si>
    <t>C176</t>
  </si>
  <si>
    <t>C176 Rocky View-Bass Pro Shops</t>
  </si>
  <si>
    <t>112-261055 Cross Iron Blvd</t>
  </si>
  <si>
    <t>Rocky View</t>
  </si>
  <si>
    <t>AB</t>
  </si>
  <si>
    <t>T4A0G3</t>
  </si>
  <si>
    <t>Canada/Mountain</t>
  </si>
  <si>
    <t>403-592-3962</t>
  </si>
  <si>
    <t>Christopher Munday</t>
  </si>
  <si>
    <t>C177</t>
  </si>
  <si>
    <t>C177 ROSSFORD-Bass Pro Shops</t>
  </si>
  <si>
    <t>10000 Bass Pro Blvd</t>
  </si>
  <si>
    <t>ROSSFORD</t>
  </si>
  <si>
    <t>43460-7700</t>
  </si>
  <si>
    <t>419-891-3962</t>
  </si>
  <si>
    <t>C178</t>
  </si>
  <si>
    <t>C178 Tsawwassen-Bass Pro Shops (Vancouver)</t>
  </si>
  <si>
    <t>5000 Canoe Pass Way</t>
  </si>
  <si>
    <t>Tsawwassen</t>
  </si>
  <si>
    <t>BC</t>
  </si>
  <si>
    <t>V4M0B3</t>
  </si>
  <si>
    <t>Canada/Pacific</t>
  </si>
  <si>
    <t>604-948-6262</t>
  </si>
  <si>
    <t>Leah Bradley</t>
  </si>
  <si>
    <t>C179</t>
  </si>
  <si>
    <t>C179 GRANDVILLE-Cabela's</t>
  </si>
  <si>
    <t>3000 44Th St Sw</t>
  </si>
  <si>
    <t>GRANDVILLE</t>
  </si>
  <si>
    <t>49418-2502</t>
  </si>
  <si>
    <t>616-682-6699</t>
  </si>
  <si>
    <t>C180</t>
  </si>
  <si>
    <t>C180 QUIL CEDA VLG-Cabela's</t>
  </si>
  <si>
    <t>9810 Quil Ceda Blvd</t>
  </si>
  <si>
    <t>QUIL CEDA VLG</t>
  </si>
  <si>
    <t>98271-8243</t>
  </si>
  <si>
    <t>360-654-4902</t>
  </si>
  <si>
    <t>C181</t>
  </si>
  <si>
    <t>C181 Hoffman Estates-Cabela's</t>
  </si>
  <si>
    <t>5225 Prairie Stone Pkwy</t>
  </si>
  <si>
    <t>HOFFMAN ESTATES</t>
  </si>
  <si>
    <t>60192-3709</t>
  </si>
  <si>
    <t>847-645-0476</t>
  </si>
  <si>
    <t>C182</t>
  </si>
  <si>
    <t>Abbotsford-Cabela's</t>
  </si>
  <si>
    <t>1818 Mccallum Rd</t>
  </si>
  <si>
    <t>ABBOTSFORD</t>
  </si>
  <si>
    <t>V2S0H9</t>
  </si>
  <si>
    <t>604-425-1752</t>
  </si>
  <si>
    <t>C183</t>
  </si>
  <si>
    <t>Calgary-Cabela's</t>
  </si>
  <si>
    <t>851 64Th Ave. N.E.</t>
  </si>
  <si>
    <t>Calgary</t>
  </si>
  <si>
    <t>T2E3B8</t>
  </si>
  <si>
    <t>403-910-0132</t>
  </si>
  <si>
    <t>C184</t>
  </si>
  <si>
    <t>Ottawa-Cabela's</t>
  </si>
  <si>
    <t>3065 Palladium Dr</t>
  </si>
  <si>
    <t>Ottawa</t>
  </si>
  <si>
    <t>K2T0N2</t>
  </si>
  <si>
    <t>613-319-8602</t>
  </si>
  <si>
    <t>Jackie Burgess</t>
  </si>
  <si>
    <t>C186</t>
  </si>
  <si>
    <t>Nanaimo-Cabela's</t>
  </si>
  <si>
    <t>6900 Island Highway</t>
  </si>
  <si>
    <t>Nanaimo</t>
  </si>
  <si>
    <t>V9V1P6</t>
  </si>
  <si>
    <t>250-390-7812</t>
  </si>
  <si>
    <t>C187</t>
  </si>
  <si>
    <t>Barrie-Cabela's</t>
  </si>
  <si>
    <t>50 Concert Way</t>
  </si>
  <si>
    <t>Barrie</t>
  </si>
  <si>
    <t>L4N6N5</t>
  </si>
  <si>
    <t>705-735-8912</t>
  </si>
  <si>
    <t>C188</t>
  </si>
  <si>
    <t>Edmonton-Cabela's</t>
  </si>
  <si>
    <t>15320 37 Street Nw (No)</t>
  </si>
  <si>
    <t>Edmonton</t>
  </si>
  <si>
    <t>T5Y0S5</t>
  </si>
  <si>
    <t>780-670-6002</t>
  </si>
  <si>
    <t>C189</t>
  </si>
  <si>
    <t>Regina-Cabela's</t>
  </si>
  <si>
    <t>4901 Gordon Road</t>
  </si>
  <si>
    <t>Regina</t>
  </si>
  <si>
    <t>SK</t>
  </si>
  <si>
    <t>S4W0B7</t>
  </si>
  <si>
    <t>Canada/Central</t>
  </si>
  <si>
    <t>306-523-5992</t>
  </si>
  <si>
    <t>C190</t>
  </si>
  <si>
    <t>Saskatoon-Cabela's</t>
  </si>
  <si>
    <t>1714 Preston Ave. North</t>
  </si>
  <si>
    <t>Saskatoon</t>
  </si>
  <si>
    <t>S7N4Y1</t>
  </si>
  <si>
    <t>306-667-3082</t>
  </si>
  <si>
    <t>C191</t>
  </si>
  <si>
    <t>6170 Currents Drive Nw (So)</t>
  </si>
  <si>
    <t>T6W0L8</t>
  </si>
  <si>
    <t>780-628-9202</t>
  </si>
  <si>
    <t>Low</t>
  </si>
  <si>
    <t>C192</t>
  </si>
  <si>
    <t>Winnipeg-Cabela's</t>
  </si>
  <si>
    <t>580 Sterling Lyon Pkwy</t>
  </si>
  <si>
    <t>Winnipeg</t>
  </si>
  <si>
    <t>MB</t>
  </si>
  <si>
    <t>R3P1E9</t>
  </si>
  <si>
    <t>204-480-4102</t>
  </si>
  <si>
    <t>C193</t>
  </si>
  <si>
    <t>Boise-Cabela's</t>
  </si>
  <si>
    <t>8109 W Franklin Rd</t>
  </si>
  <si>
    <t>BOISE</t>
  </si>
  <si>
    <t>83709-0622</t>
  </si>
  <si>
    <t>208-672-7936</t>
  </si>
  <si>
    <t>C194</t>
  </si>
  <si>
    <t>C194 SIDNEY-Cabela's</t>
  </si>
  <si>
    <t>115 Cabela Dr</t>
  </si>
  <si>
    <t>SIDNEY</t>
  </si>
  <si>
    <t>69160-0001</t>
  </si>
  <si>
    <t>308-255-5262</t>
  </si>
  <si>
    <t>C195</t>
  </si>
  <si>
    <t>C195 COLUMBUS-Cabela's</t>
  </si>
  <si>
    <t>1650 Gemini Pl</t>
  </si>
  <si>
    <t>COLUMBUS</t>
  </si>
  <si>
    <t>43240-7000</t>
  </si>
  <si>
    <t>614-702-2354</t>
  </si>
  <si>
    <t>C196</t>
  </si>
  <si>
    <t>C196 RICHMOND-Cabela's</t>
  </si>
  <si>
    <t>5000 Cabela Dr</t>
  </si>
  <si>
    <t>RICHMOND</t>
  </si>
  <si>
    <t>23233-7813</t>
  </si>
  <si>
    <t>804-340-7313</t>
  </si>
  <si>
    <t>C197</t>
  </si>
  <si>
    <t>C197 Memphis-Bass Pro Shops</t>
  </si>
  <si>
    <t>6140 Macon Rd</t>
  </si>
  <si>
    <t>38134-7558</t>
  </si>
  <si>
    <t>901-213-5862</t>
  </si>
  <si>
    <t>C198</t>
  </si>
  <si>
    <t>C198 SPRINGFIELD-Cabela's</t>
  </si>
  <si>
    <t>2800 Gateway St</t>
  </si>
  <si>
    <t>97477-7708</t>
  </si>
  <si>
    <t>541-349-5792</t>
  </si>
  <si>
    <t>C199</t>
  </si>
  <si>
    <t>C199 WICHITA-Cabela's</t>
  </si>
  <si>
    <t>2427 N Greenwich Rd</t>
  </si>
  <si>
    <t>WICHITA</t>
  </si>
  <si>
    <t>67226-8205</t>
  </si>
  <si>
    <t>316-221-3252</t>
  </si>
  <si>
    <t>C200</t>
  </si>
  <si>
    <t>C200 OKLAHOMA CITY-Cabela's</t>
  </si>
  <si>
    <t>1200 W Memorial Rd</t>
  </si>
  <si>
    <t>73114-1425</t>
  </si>
  <si>
    <t>405-546-3413</t>
  </si>
  <si>
    <t>C202</t>
  </si>
  <si>
    <t>C202 AUBURN-Bass Pro Shops</t>
  </si>
  <si>
    <t>1579 Clark Street Rd</t>
  </si>
  <si>
    <t>AUBURN</t>
  </si>
  <si>
    <t>NY</t>
  </si>
  <si>
    <t>13021-9532</t>
  </si>
  <si>
    <t>315-258-2762</t>
  </si>
  <si>
    <t>C203</t>
  </si>
  <si>
    <t>C203 Lexington - CAB</t>
  </si>
  <si>
    <t>1510 Conservation Way</t>
  </si>
  <si>
    <t>LEXINGTON</t>
  </si>
  <si>
    <t>KY</t>
  </si>
  <si>
    <t>40509-8020</t>
  </si>
  <si>
    <t>859-286-5292</t>
  </si>
  <si>
    <t>C204</t>
  </si>
  <si>
    <t>C204 SUN PRAIRIE-Cabela's</t>
  </si>
  <si>
    <t>1350 Cabela Dr</t>
  </si>
  <si>
    <t>SUN PRAIRIE</t>
  </si>
  <si>
    <t>53590-9126</t>
  </si>
  <si>
    <t>608-478-4072</t>
  </si>
  <si>
    <t>C205</t>
  </si>
  <si>
    <t>Columbia-Bass Pro Shops</t>
  </si>
  <si>
    <t>3100 Vandiver Dr</t>
  </si>
  <si>
    <t>COLUMBIA</t>
  </si>
  <si>
    <t>65202-2304</t>
  </si>
  <si>
    <t>573-886-7162</t>
  </si>
  <si>
    <t>C206</t>
  </si>
  <si>
    <t>C206 Moncton-Bass Pro Shops</t>
  </si>
  <si>
    <t>1 Promenade Bass Pro Dr</t>
  </si>
  <si>
    <t>Moncton</t>
  </si>
  <si>
    <t>NB</t>
  </si>
  <si>
    <t>E1A6S5</t>
  </si>
  <si>
    <t>Canada/Atlantic</t>
  </si>
  <si>
    <t>506-878-5262</t>
  </si>
  <si>
    <t>C207</t>
  </si>
  <si>
    <t>C207 LACEY-Cabela's</t>
  </si>
  <si>
    <t>1600 Gateway Blvd Ne</t>
  </si>
  <si>
    <t>LACEY</t>
  </si>
  <si>
    <t>98516-4400</t>
  </si>
  <si>
    <t>360-252-3560</t>
  </si>
  <si>
    <t>C208</t>
  </si>
  <si>
    <t>Hazelwood-Cabela's</t>
  </si>
  <si>
    <t>5555 St Louis Mills Blvd</t>
  </si>
  <si>
    <t>HAZELWOOD</t>
  </si>
  <si>
    <t>63042</t>
  </si>
  <si>
    <t>314-225-0146</t>
  </si>
  <si>
    <t>C209</t>
  </si>
  <si>
    <t>C209 MITCHELL-Cabela's</t>
  </si>
  <si>
    <t>601 Cabela Dr</t>
  </si>
  <si>
    <t>MITCHELL</t>
  </si>
  <si>
    <t>SD</t>
  </si>
  <si>
    <t>57301-6288</t>
  </si>
  <si>
    <t>605-299-0612</t>
  </si>
  <si>
    <t>C210</t>
  </si>
  <si>
    <t>C210 NOBLESVILLE-Cabela's</t>
  </si>
  <si>
    <t>13725 Cabela Pkwy</t>
  </si>
  <si>
    <t>NOBLESVILLE</t>
  </si>
  <si>
    <t>46060-6705</t>
  </si>
  <si>
    <t>317-565-6400</t>
  </si>
  <si>
    <t>C211</t>
  </si>
  <si>
    <t>C211 LOUISVILLE-Cabela's</t>
  </si>
  <si>
    <t>5100 Norton Healthcare Blvd</t>
  </si>
  <si>
    <t>LOUISVILLE</t>
  </si>
  <si>
    <t>40241-2838</t>
  </si>
  <si>
    <t>502-365-9022</t>
  </si>
  <si>
    <t>C212</t>
  </si>
  <si>
    <t>C212 BILLINGS-Cabela's</t>
  </si>
  <si>
    <t>4550 King Ave E</t>
  </si>
  <si>
    <t>BILLINGS</t>
  </si>
  <si>
    <t>59101-4905</t>
  </si>
  <si>
    <t>406-373-7331</t>
  </si>
  <si>
    <t>C214</t>
  </si>
  <si>
    <t>C214 RAPID CITY-Cabela's</t>
  </si>
  <si>
    <t>3231 E Mall Dr</t>
  </si>
  <si>
    <t>RAPID CITY</t>
  </si>
  <si>
    <t>57701-7918</t>
  </si>
  <si>
    <t>605-388-5628</t>
  </si>
  <si>
    <t>C215</t>
  </si>
  <si>
    <t>Hammond-Cabela's</t>
  </si>
  <si>
    <t>7700 Cabela Dr</t>
  </si>
  <si>
    <t>HAMMOND</t>
  </si>
  <si>
    <t>46324-2946</t>
  </si>
  <si>
    <t>219-845-9081</t>
  </si>
  <si>
    <t>C216</t>
  </si>
  <si>
    <t>C216 LEHI-Cabela's</t>
  </si>
  <si>
    <t>2502 W Cabelas Blvd</t>
  </si>
  <si>
    <t>LEHI</t>
  </si>
  <si>
    <t>UT</t>
  </si>
  <si>
    <t>84043-3747</t>
  </si>
  <si>
    <t>801-766-6820</t>
  </si>
  <si>
    <t>C217</t>
  </si>
  <si>
    <t>C217 HUNTSVILLE-Cabela's</t>
  </si>
  <si>
    <t>7090 Cabela Dr Nw</t>
  </si>
  <si>
    <t>HUNTSVILLE</t>
  </si>
  <si>
    <t>35806-2853</t>
  </si>
  <si>
    <t>256-517-7202</t>
  </si>
  <si>
    <t>C218</t>
  </si>
  <si>
    <t>C218 HUDSON-Cabela's</t>
  </si>
  <si>
    <t>44 Highland Cmn E</t>
  </si>
  <si>
    <t>HUDSON</t>
  </si>
  <si>
    <t>01749-2047</t>
  </si>
  <si>
    <t>978-212-6209</t>
  </si>
  <si>
    <t>C219</t>
  </si>
  <si>
    <t>C219 BUFFALO-Cabela's</t>
  </si>
  <si>
    <t>2003 Walden Ave</t>
  </si>
  <si>
    <t>BUFFALO</t>
  </si>
  <si>
    <t>14225-5113</t>
  </si>
  <si>
    <t>716-608-4782</t>
  </si>
  <si>
    <t>Double, SIngle</t>
  </si>
  <si>
    <t>C220</t>
  </si>
  <si>
    <t>C220 CHARLESTON-Cabela's</t>
  </si>
  <si>
    <t>200 Cross Terrace Blvd</t>
  </si>
  <si>
    <t>CHARLESTON</t>
  </si>
  <si>
    <t>25309-9479</t>
  </si>
  <si>
    <t>304-932-4756</t>
  </si>
  <si>
    <t>C221</t>
  </si>
  <si>
    <t>C221 WACO-Cabela's</t>
  </si>
  <si>
    <t>2700 W Loop 340</t>
  </si>
  <si>
    <t>WACO</t>
  </si>
  <si>
    <t>76711-2408</t>
  </si>
  <si>
    <t>254-870-4262</t>
  </si>
  <si>
    <t>C222</t>
  </si>
  <si>
    <t>Avon - Cabela's</t>
  </si>
  <si>
    <t>35685 Chester Rd</t>
  </si>
  <si>
    <t>AVON</t>
  </si>
  <si>
    <t>44011-1260</t>
  </si>
  <si>
    <t>440-723-5612</t>
  </si>
  <si>
    <t>C223</t>
  </si>
  <si>
    <t>Anchorage-Bass Pro Shops</t>
  </si>
  <si>
    <t>3046 Mountain View Dr</t>
  </si>
  <si>
    <t>99501-3105</t>
  </si>
  <si>
    <t>907-330-5262</t>
  </si>
  <si>
    <t>C224</t>
  </si>
  <si>
    <t>C224 PRAIRIE DU CHIEN-Cabela's</t>
  </si>
  <si>
    <t>33901 Hwy 35</t>
  </si>
  <si>
    <t>PRAIRIE DU CHIEN</t>
  </si>
  <si>
    <t>53821-1130</t>
  </si>
  <si>
    <t>608-326-5654</t>
  </si>
  <si>
    <t>C225</t>
  </si>
  <si>
    <t>C225 KEARNEY-Cabela's</t>
  </si>
  <si>
    <t>3600 Highway 30 E</t>
  </si>
  <si>
    <t>KEARNEY</t>
  </si>
  <si>
    <t>68847-4715</t>
  </si>
  <si>
    <t>308-237-8852</t>
  </si>
  <si>
    <t>C226</t>
  </si>
  <si>
    <t>C226 LUBBOCK-Cabela's</t>
  </si>
  <si>
    <t>3030 W Loop 289</t>
  </si>
  <si>
    <t>LUBBOCK</t>
  </si>
  <si>
    <t>79407-1655</t>
  </si>
  <si>
    <t>806-472-4252</t>
  </si>
  <si>
    <t>Rocio Herrera</t>
  </si>
  <si>
    <t>C227</t>
  </si>
  <si>
    <t>Augusta-Cabela's</t>
  </si>
  <si>
    <t>833 Cabela Dr</t>
  </si>
  <si>
    <t>AUGUSTA</t>
  </si>
  <si>
    <t>30909-8202</t>
  </si>
  <si>
    <t>762-444-6502</t>
  </si>
  <si>
    <t>C228</t>
  </si>
  <si>
    <t>C228 FARMINGTON-Cabela's</t>
  </si>
  <si>
    <t>391 N Cabelas Dr</t>
  </si>
  <si>
    <t>FARMINGTON</t>
  </si>
  <si>
    <t>84025-5640</t>
  </si>
  <si>
    <t>801-939-3732</t>
  </si>
  <si>
    <t>C229</t>
  </si>
  <si>
    <t>Bowling Green-Cabela's</t>
  </si>
  <si>
    <t>3395 Nell Obryan Ct</t>
  </si>
  <si>
    <t>BOWLING GREEN</t>
  </si>
  <si>
    <t>42103-6037</t>
  </si>
  <si>
    <t>270-936-8292</t>
  </si>
  <si>
    <t>C230</t>
  </si>
  <si>
    <t>C230 WEST CHESTER-Cabela's</t>
  </si>
  <si>
    <t>7250 Cabela Dr</t>
  </si>
  <si>
    <t>WEST CHESTER</t>
  </si>
  <si>
    <t>45069-7505</t>
  </si>
  <si>
    <t>513-342-5378</t>
  </si>
  <si>
    <t>C231</t>
  </si>
  <si>
    <t>C231 CENTERVILLE-Cabela's</t>
  </si>
  <si>
    <t>5500 Cornerstone North Blvd</t>
  </si>
  <si>
    <t>CENTERVILLE</t>
  </si>
  <si>
    <t>45440-2272</t>
  </si>
  <si>
    <t>937-949-2012</t>
  </si>
  <si>
    <t>C232</t>
  </si>
  <si>
    <t>Utica-Bass Pro Shops</t>
  </si>
  <si>
    <t>710 Horatio St</t>
  </si>
  <si>
    <t>UTICA</t>
  </si>
  <si>
    <t>13502-1468</t>
  </si>
  <si>
    <t>315-266-4962</t>
  </si>
  <si>
    <t>C233</t>
  </si>
  <si>
    <t>Chesterfield-Cabela's</t>
  </si>
  <si>
    <t>45959 Towne Center Blvd</t>
  </si>
  <si>
    <t>CHESTERFIELD</t>
  </si>
  <si>
    <t>48051</t>
  </si>
  <si>
    <t>586-273-5102</t>
  </si>
  <si>
    <t>C234</t>
  </si>
  <si>
    <t>C234 UNION GAP-Cabela's</t>
  </si>
  <si>
    <t>1400 E Washington Ave</t>
  </si>
  <si>
    <t>UNION GAP</t>
  </si>
  <si>
    <t>98903-1661</t>
  </si>
  <si>
    <t>509-941-2122</t>
  </si>
  <si>
    <t>C235</t>
  </si>
  <si>
    <t>C235 SAGINAW-Cabela's</t>
  </si>
  <si>
    <t>5202 Bay Rd</t>
  </si>
  <si>
    <t>SAGINAW</t>
  </si>
  <si>
    <t>48604-2518</t>
  </si>
  <si>
    <t>989-321-5733</t>
  </si>
  <si>
    <t>C236</t>
  </si>
  <si>
    <t>C236 AMMON-Cabela's</t>
  </si>
  <si>
    <t>3693 S 25Th E</t>
  </si>
  <si>
    <t>AMMON</t>
  </si>
  <si>
    <t>83406-6102</t>
  </si>
  <si>
    <t>208-932-2900 x8292</t>
  </si>
  <si>
    <t>C237</t>
  </si>
  <si>
    <t>Albuquerque-Cabela's</t>
  </si>
  <si>
    <t>5151 Lang Ave Ne</t>
  </si>
  <si>
    <t>ALBUQUERQUE</t>
  </si>
  <si>
    <t>NM</t>
  </si>
  <si>
    <t>87109</t>
  </si>
  <si>
    <t>505-336-2712</t>
  </si>
  <si>
    <t>C238</t>
  </si>
  <si>
    <t>East Grand Forks-Cabela's</t>
  </si>
  <si>
    <t>210 Demers Ave</t>
  </si>
  <si>
    <t>EAST GRAND FORKS</t>
  </si>
  <si>
    <t>56721-1850</t>
  </si>
  <si>
    <t>218-207-2272</t>
  </si>
  <si>
    <t>C239</t>
  </si>
  <si>
    <t>C239 KALISPELL-Cabela's</t>
  </si>
  <si>
    <t>125 Treeline Rd</t>
  </si>
  <si>
    <t>KALISPELL</t>
  </si>
  <si>
    <t>59901-1217</t>
  </si>
  <si>
    <t>406-203-5202</t>
  </si>
  <si>
    <t>C240</t>
  </si>
  <si>
    <t>El Paso-Cabela's</t>
  </si>
  <si>
    <t>6450 I-10 Desert Blvd</t>
  </si>
  <si>
    <t>EL PASO</t>
  </si>
  <si>
    <t>79912</t>
  </si>
  <si>
    <t>915-263-8100</t>
  </si>
  <si>
    <t>C274</t>
  </si>
  <si>
    <t>Halifax-BPS/Cabela's</t>
  </si>
  <si>
    <t>50 Cabela Rd</t>
  </si>
  <si>
    <t>DARTMOUTH</t>
  </si>
  <si>
    <t>NS</t>
  </si>
  <si>
    <t>B3B 0M5</t>
  </si>
  <si>
    <t/>
  </si>
  <si>
    <t>902-417-1782</t>
  </si>
  <si>
    <t>45.75"x58.5" - COSTA</t>
  </si>
  <si>
    <t>45.75"x88" - PRIZM</t>
  </si>
  <si>
    <t>MEMPHIS BARREL (2)</t>
  </si>
  <si>
    <t>F988</t>
  </si>
  <si>
    <t>Sunset Hills - Bass Pro</t>
  </si>
  <si>
    <t>3600 S Lindbergh</t>
  </si>
  <si>
    <t>Sunset Hills</t>
  </si>
  <si>
    <t>6 gondolas (rust)</t>
  </si>
  <si>
    <t>2 promo/capacity tables (rust)</t>
  </si>
  <si>
    <t>46"x75"
{DETAILS: 46” x 75”
Channel size – .177 for silicone edge. 
[ frame:45.98425" x 75" (1168 x 1905 mm`)] }</t>
  </si>
  <si>
    <t>fresh? Fishing location</t>
  </si>
  <si>
    <t>New</t>
  </si>
  <si>
    <t>3 ( polar, chr. Icons shapes)</t>
  </si>
  <si>
    <t>12 RUST</t>
  </si>
  <si>
    <t>513-415-2559</t>
  </si>
  <si>
    <t>P373</t>
  </si>
  <si>
    <t>Column1</t>
  </si>
  <si>
    <t xml:space="preserve"> </t>
  </si>
  <si>
    <t>5x5 TOOL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</si>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</sst>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39">
    <font>
      <sz val="9"/>
      <name val="Genev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Geneva"/>
      <family val="2"/>
    </font>
    <font>
      <sz val="8"/>
      <name val="Geneva"/>
      <family val="2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trike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trike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FFFF"/>
      <name val="Calibri"/>
      <family val="2"/>
    </font>
    <font>
      <sz val="12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theme="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 style="thin">
        <color theme="7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7" tint="0.39997558519241921"/>
      </left>
      <right/>
      <top/>
      <bottom style="thin">
        <color theme="7" tint="0.39997558519241921"/>
      </bottom>
      <diagonal/>
    </border>
    <border>
      <left/>
      <right style="thin">
        <color theme="7" tint="0.39997558519241921"/>
      </right>
      <top/>
      <bottom style="thin">
        <color theme="7" tint="0.39997558519241921"/>
      </bottom>
      <diagonal/>
    </border>
    <border>
      <left style="thin">
        <color theme="7" tint="0.39997558519241921"/>
      </left>
      <right/>
      <top/>
      <bottom/>
      <diagonal/>
    </border>
    <border>
      <left/>
      <right style="thin">
        <color theme="7" tint="0.39997558519241921"/>
      </right>
      <top/>
      <bottom/>
      <diagonal/>
    </border>
  </borders>
  <cellStyleXfs count="28">
    <xf numFmtId="0" fontId="0" fillId="0" borderId="0">
      <alignment horizontal="left" textRotation="45"/>
    </xf>
    <xf numFmtId="44" fontId="19" fillId="0" borderId="0" applyFont="0" applyFill="0" applyBorder="0" applyAlignment="0" applyProtection="0"/>
    <xf numFmtId="0" fontId="21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43" fontId="13" fillId="0" borderId="0" applyFont="0" applyFill="0" applyBorder="0" applyAlignment="0" applyProtection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9" fillId="0" borderId="0">
      <alignment horizontal="left" textRotation="45"/>
    </xf>
  </cellStyleXfs>
  <cellXfs count="136">
    <xf numFmtId="0" fontId="0" fillId="0" borderId="0" xfId="0">
      <alignment horizontal="left" textRotation="45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23" fillId="9" borderId="1" xfId="0" applyFont="1" applyFill="1" applyBorder="1" applyAlignment="1">
      <alignment horizontal="center" wrapText="1"/>
    </xf>
    <xf numFmtId="0" fontId="22" fillId="0" borderId="1" xfId="0" applyFont="1" applyBorder="1" applyAlignment="1">
      <alignment horizontal="center" vertical="center"/>
    </xf>
    <xf numFmtId="49" fontId="23" fillId="2" borderId="1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/>
    </xf>
    <xf numFmtId="10" fontId="23" fillId="2" borderId="1" xfId="0" applyNumberFormat="1" applyFont="1" applyFill="1" applyBorder="1" applyAlignment="1">
      <alignment horizontal="center" vertical="center" wrapText="1"/>
    </xf>
    <xf numFmtId="164" fontId="22" fillId="7" borderId="1" xfId="0" applyNumberFormat="1" applyFont="1" applyFill="1" applyBorder="1" applyAlignment="1">
      <alignment vertical="center" wrapText="1"/>
    </xf>
    <xf numFmtId="164" fontId="22" fillId="8" borderId="1" xfId="0" applyNumberFormat="1" applyFont="1" applyFill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164" fontId="22" fillId="3" borderId="1" xfId="0" applyNumberFormat="1" applyFont="1" applyFill="1" applyBorder="1" applyAlignment="1">
      <alignment vertical="center" wrapText="1"/>
    </xf>
    <xf numFmtId="0" fontId="22" fillId="0" borderId="0" xfId="0" applyFont="1" applyAlignment="1">
      <alignment horizontal="left" vertical="center"/>
    </xf>
    <xf numFmtId="44" fontId="23" fillId="3" borderId="1" xfId="1" applyFont="1" applyFill="1" applyBorder="1" applyAlignment="1">
      <alignment horizontal="center" vertical="center" wrapText="1"/>
    </xf>
    <xf numFmtId="44" fontId="23" fillId="8" borderId="1" xfId="1" applyFont="1" applyFill="1" applyBorder="1" applyAlignment="1">
      <alignment horizontal="center" vertical="center" wrapText="1"/>
    </xf>
    <xf numFmtId="44" fontId="23" fillId="5" borderId="1" xfId="1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44" fontId="23" fillId="6" borderId="1" xfId="1" applyFont="1" applyFill="1" applyBorder="1" applyAlignment="1">
      <alignment horizontal="center" vertical="center" wrapText="1"/>
    </xf>
    <xf numFmtId="49" fontId="23" fillId="2" borderId="1" xfId="0" applyNumberFormat="1" applyFont="1" applyFill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3" fillId="10" borderId="1" xfId="0" applyFont="1" applyFill="1" applyBorder="1" applyAlignment="1">
      <alignment horizontal="center" wrapText="1"/>
    </xf>
    <xf numFmtId="0" fontId="22" fillId="8" borderId="1" xfId="0" applyFont="1" applyFill="1" applyBorder="1" applyAlignment="1">
      <alignment horizontal="center" vertical="center"/>
    </xf>
    <xf numFmtId="49" fontId="23" fillId="2" borderId="1" xfId="0" applyNumberFormat="1" applyFont="1" applyFill="1" applyBorder="1" applyAlignment="1">
      <alignment vertical="center"/>
    </xf>
    <xf numFmtId="49" fontId="23" fillId="2" borderId="3" xfId="0" applyNumberFormat="1" applyFont="1" applyFill="1" applyBorder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wrapText="1"/>
    </xf>
    <xf numFmtId="0" fontId="22" fillId="8" borderId="1" xfId="0" applyFont="1" applyFill="1" applyBorder="1" applyAlignment="1">
      <alignment horizontal="center" vertical="center" wrapText="1"/>
    </xf>
    <xf numFmtId="1" fontId="22" fillId="0" borderId="1" xfId="0" applyNumberFormat="1" applyFont="1" applyBorder="1" applyAlignment="1">
      <alignment horizontal="center" vertical="center" wrapText="1"/>
    </xf>
    <xf numFmtId="44" fontId="22" fillId="7" borderId="1" xfId="1" applyFont="1" applyFill="1" applyBorder="1" applyAlignment="1">
      <alignment horizontal="center" vertical="center" wrapText="1"/>
    </xf>
    <xf numFmtId="1" fontId="22" fillId="0" borderId="1" xfId="0" quotePrefix="1" applyNumberFormat="1" applyFont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/>
    </xf>
    <xf numFmtId="1" fontId="22" fillId="8" borderId="1" xfId="0" applyNumberFormat="1" applyFont="1" applyFill="1" applyBorder="1" applyAlignment="1">
      <alignment horizontal="center" vertical="center" wrapText="1"/>
    </xf>
    <xf numFmtId="44" fontId="22" fillId="8" borderId="1" xfId="1" applyFont="1" applyFill="1" applyBorder="1" applyAlignment="1">
      <alignment horizontal="center" vertical="center" wrapText="1"/>
    </xf>
    <xf numFmtId="164" fontId="22" fillId="5" borderId="1" xfId="1" applyNumberFormat="1" applyFont="1" applyFill="1" applyBorder="1" applyAlignment="1">
      <alignment horizontal="right" vertical="center" wrapText="1"/>
    </xf>
    <xf numFmtId="164" fontId="22" fillId="6" borderId="1" xfId="1" applyNumberFormat="1" applyFont="1" applyFill="1" applyBorder="1" applyAlignment="1">
      <alignment horizontal="right" vertical="center" wrapText="1"/>
    </xf>
    <xf numFmtId="1" fontId="22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49" fontId="23" fillId="4" borderId="1" xfId="0" applyNumberFormat="1" applyFont="1" applyFill="1" applyBorder="1" applyAlignment="1">
      <alignment horizontal="left" vertical="center"/>
    </xf>
    <xf numFmtId="0" fontId="25" fillId="0" borderId="0" xfId="26" applyFont="1"/>
    <xf numFmtId="0" fontId="26" fillId="0" borderId="0" xfId="26" applyFont="1"/>
    <xf numFmtId="0" fontId="27" fillId="0" borderId="0" xfId="26" applyFont="1"/>
    <xf numFmtId="0" fontId="25" fillId="0" borderId="0" xfId="26" applyFont="1" applyAlignment="1">
      <alignment horizontal="center" vertical="center"/>
    </xf>
    <xf numFmtId="0" fontId="25" fillId="11" borderId="0" xfId="26" applyFont="1" applyFill="1" applyAlignment="1">
      <alignment horizontal="center" vertical="center"/>
    </xf>
    <xf numFmtId="0" fontId="29" fillId="13" borderId="4" xfId="26" applyFont="1" applyFill="1" applyBorder="1" applyAlignment="1">
      <alignment horizontal="center" vertical="center" wrapText="1"/>
    </xf>
    <xf numFmtId="0" fontId="25" fillId="0" borderId="0" xfId="26" applyFont="1" applyAlignment="1">
      <alignment horizontal="center" vertical="center" wrapText="1"/>
    </xf>
    <xf numFmtId="0" fontId="25" fillId="0" borderId="0" xfId="26" applyFont="1" applyAlignment="1">
      <alignment wrapText="1"/>
    </xf>
    <xf numFmtId="0" fontId="30" fillId="0" borderId="0" xfId="26" applyFont="1"/>
    <xf numFmtId="0" fontId="25" fillId="0" borderId="8" xfId="26" applyFont="1" applyBorder="1" applyAlignment="1">
      <alignment horizontal="center" vertical="center"/>
    </xf>
    <xf numFmtId="0" fontId="25" fillId="11" borderId="13" xfId="26" applyFont="1" applyFill="1" applyBorder="1" applyAlignment="1">
      <alignment horizontal="center" vertical="center"/>
    </xf>
    <xf numFmtId="0" fontId="25" fillId="0" borderId="13" xfId="26" applyFont="1" applyBorder="1" applyAlignment="1">
      <alignment horizontal="center" vertical="center"/>
    </xf>
    <xf numFmtId="0" fontId="27" fillId="0" borderId="13" xfId="26" applyFont="1" applyBorder="1" applyAlignment="1">
      <alignment horizontal="center" vertical="center"/>
    </xf>
    <xf numFmtId="0" fontId="25" fillId="14" borderId="8" xfId="26" applyFont="1" applyFill="1" applyBorder="1" applyAlignment="1">
      <alignment horizontal="center" vertical="center"/>
    </xf>
    <xf numFmtId="0" fontId="27" fillId="14" borderId="8" xfId="26" applyFont="1" applyFill="1" applyBorder="1" applyAlignment="1">
      <alignment horizontal="center" vertical="center"/>
    </xf>
    <xf numFmtId="0" fontId="25" fillId="11" borderId="13" xfId="26" applyFont="1" applyFill="1" applyBorder="1"/>
    <xf numFmtId="0" fontId="25" fillId="0" borderId="4" xfId="26" applyFont="1" applyBorder="1" applyAlignment="1">
      <alignment horizontal="center" vertical="center"/>
    </xf>
    <xf numFmtId="0" fontId="27" fillId="0" borderId="4" xfId="26" applyFont="1" applyBorder="1" applyAlignment="1">
      <alignment horizontal="center" vertical="center"/>
    </xf>
    <xf numFmtId="0" fontId="25" fillId="14" borderId="6" xfId="26" applyFont="1" applyFill="1" applyBorder="1" applyAlignment="1">
      <alignment horizontal="center" vertical="center"/>
    </xf>
    <xf numFmtId="0" fontId="27" fillId="14" borderId="6" xfId="26" applyFont="1" applyFill="1" applyBorder="1" applyAlignment="1">
      <alignment horizontal="center" vertical="center"/>
    </xf>
    <xf numFmtId="0" fontId="25" fillId="0" borderId="6" xfId="26" applyFont="1" applyBorder="1" applyAlignment="1">
      <alignment horizontal="center" vertical="center"/>
    </xf>
    <xf numFmtId="0" fontId="27" fillId="0" borderId="6" xfId="26" applyFont="1" applyBorder="1" applyAlignment="1">
      <alignment horizontal="center" vertical="center"/>
    </xf>
    <xf numFmtId="0" fontId="25" fillId="14" borderId="4" xfId="26" applyFont="1" applyFill="1" applyBorder="1" applyAlignment="1">
      <alignment horizontal="center" vertical="center"/>
    </xf>
    <xf numFmtId="0" fontId="25" fillId="0" borderId="6" xfId="26" applyFont="1" applyBorder="1" applyAlignment="1">
      <alignment horizontal="center" vertical="center" wrapText="1"/>
    </xf>
    <xf numFmtId="0" fontId="30" fillId="14" borderId="6" xfId="26" applyFont="1" applyFill="1" applyBorder="1" applyAlignment="1">
      <alignment horizontal="center" vertical="center"/>
    </xf>
    <xf numFmtId="0" fontId="30" fillId="14" borderId="4" xfId="26" applyFont="1" applyFill="1" applyBorder="1" applyAlignment="1">
      <alignment horizontal="center" vertical="center"/>
    </xf>
    <xf numFmtId="0" fontId="25" fillId="15" borderId="0" xfId="26" applyFont="1" applyFill="1"/>
    <xf numFmtId="0" fontId="28" fillId="16" borderId="4" xfId="26" applyFont="1" applyFill="1" applyBorder="1" applyAlignment="1">
      <alignment horizontal="center" vertical="center" wrapText="1"/>
    </xf>
    <xf numFmtId="0" fontId="28" fillId="17" borderId="0" xfId="26" applyFont="1" applyFill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5" fillId="11" borderId="8" xfId="26" applyFont="1" applyFill="1" applyBorder="1" applyAlignment="1">
      <alignment horizontal="center" vertical="center" wrapText="1"/>
    </xf>
    <xf numFmtId="0" fontId="25" fillId="0" borderId="8" xfId="26" applyFont="1" applyBorder="1" applyAlignment="1">
      <alignment horizontal="center" vertical="center" wrapText="1"/>
    </xf>
    <xf numFmtId="0" fontId="25" fillId="0" borderId="13" xfId="26" applyFont="1" applyBorder="1" applyAlignment="1">
      <alignment horizontal="center" vertical="center" wrapText="1"/>
    </xf>
    <xf numFmtId="0" fontId="25" fillId="11" borderId="0" xfId="26" applyFont="1" applyFill="1" applyAlignment="1">
      <alignment horizontal="center" vertical="center" wrapText="1"/>
    </xf>
    <xf numFmtId="0" fontId="25" fillId="11" borderId="0" xfId="26" applyFont="1" applyFill="1" applyAlignment="1">
      <alignment wrapText="1"/>
    </xf>
    <xf numFmtId="0" fontId="25" fillId="0" borderId="9" xfId="26" applyFont="1" applyBorder="1" applyAlignment="1">
      <alignment horizontal="center" vertical="center"/>
    </xf>
    <xf numFmtId="0" fontId="25" fillId="11" borderId="9" xfId="26" applyFont="1" applyFill="1" applyBorder="1" applyAlignment="1">
      <alignment horizontal="center" vertical="center"/>
    </xf>
    <xf numFmtId="0" fontId="27" fillId="0" borderId="9" xfId="26" applyFont="1" applyBorder="1" applyAlignment="1">
      <alignment horizontal="center" vertical="center"/>
    </xf>
    <xf numFmtId="0" fontId="27" fillId="0" borderId="8" xfId="26" applyFont="1" applyBorder="1" applyAlignment="1">
      <alignment horizontal="center" vertical="center"/>
    </xf>
    <xf numFmtId="0" fontId="31" fillId="14" borderId="6" xfId="26" applyFont="1" applyFill="1" applyBorder="1" applyAlignment="1">
      <alignment horizontal="center" vertical="center"/>
    </xf>
    <xf numFmtId="0" fontId="25" fillId="12" borderId="6" xfId="26" applyFont="1" applyFill="1" applyBorder="1" applyAlignment="1">
      <alignment horizontal="center" vertical="center"/>
    </xf>
    <xf numFmtId="0" fontId="27" fillId="12" borderId="6" xfId="26" applyFont="1" applyFill="1" applyBorder="1" applyAlignment="1">
      <alignment horizontal="center" vertical="center"/>
    </xf>
    <xf numFmtId="0" fontId="30" fillId="0" borderId="13" xfId="26" applyFont="1" applyBorder="1" applyAlignment="1">
      <alignment wrapText="1"/>
    </xf>
    <xf numFmtId="0" fontId="32" fillId="0" borderId="8" xfId="26" applyFont="1" applyBorder="1" applyAlignment="1">
      <alignment horizontal="center" vertical="center"/>
    </xf>
    <xf numFmtId="0" fontId="33" fillId="0" borderId="9" xfId="26" applyFont="1" applyBorder="1" applyAlignment="1">
      <alignment horizontal="center" vertical="center"/>
    </xf>
    <xf numFmtId="0" fontId="32" fillId="0" borderId="10" xfId="26" applyFont="1" applyBorder="1" applyAlignment="1">
      <alignment horizontal="center" vertical="center"/>
    </xf>
    <xf numFmtId="0" fontId="32" fillId="0" borderId="9" xfId="26" applyFont="1" applyBorder="1" applyAlignment="1">
      <alignment horizontal="center" vertical="center"/>
    </xf>
    <xf numFmtId="0" fontId="33" fillId="0" borderId="11" xfId="26" applyFont="1" applyBorder="1" applyAlignment="1">
      <alignment horizontal="center" vertical="center"/>
    </xf>
    <xf numFmtId="0" fontId="33" fillId="0" borderId="8" xfId="26" applyFont="1" applyBorder="1" applyAlignment="1">
      <alignment horizontal="center" vertical="center"/>
    </xf>
    <xf numFmtId="0" fontId="33" fillId="0" borderId="13" xfId="26" applyFont="1" applyBorder="1" applyAlignment="1">
      <alignment horizontal="center" vertical="center"/>
    </xf>
    <xf numFmtId="0" fontId="33" fillId="0" borderId="12" xfId="26" applyFont="1" applyBorder="1" applyAlignment="1">
      <alignment horizontal="center" vertical="center"/>
    </xf>
    <xf numFmtId="0" fontId="32" fillId="0" borderId="13" xfId="26" applyFont="1" applyBorder="1" applyAlignment="1">
      <alignment horizontal="center" vertical="center"/>
    </xf>
    <xf numFmtId="0" fontId="34" fillId="0" borderId="4" xfId="26" applyFont="1" applyBorder="1" applyAlignment="1">
      <alignment horizontal="center" vertical="center"/>
    </xf>
    <xf numFmtId="0" fontId="32" fillId="0" borderId="5" xfId="26" applyFont="1" applyBorder="1" applyAlignment="1">
      <alignment horizontal="center" vertical="center"/>
    </xf>
    <xf numFmtId="0" fontId="33" fillId="0" borderId="6" xfId="26" applyFont="1" applyBorder="1" applyAlignment="1">
      <alignment horizontal="center" vertical="center"/>
    </xf>
    <xf numFmtId="0" fontId="32" fillId="0" borderId="6" xfId="26" applyFont="1" applyBorder="1" applyAlignment="1">
      <alignment horizontal="center" vertical="center"/>
    </xf>
    <xf numFmtId="0" fontId="33" fillId="0" borderId="7" xfId="26" applyFont="1" applyBorder="1" applyAlignment="1">
      <alignment horizontal="center" vertical="center"/>
    </xf>
    <xf numFmtId="0" fontId="32" fillId="0" borderId="4" xfId="26" applyFont="1" applyBorder="1" applyAlignment="1">
      <alignment horizontal="center" vertical="center"/>
    </xf>
    <xf numFmtId="0" fontId="32" fillId="0" borderId="6" xfId="26" applyFont="1" applyBorder="1" applyAlignment="1">
      <alignment horizontal="center" vertical="top"/>
    </xf>
    <xf numFmtId="0" fontId="36" fillId="0" borderId="6" xfId="27" applyFont="1" applyBorder="1" applyAlignment="1">
      <alignment horizontal="center" vertical="center"/>
    </xf>
    <xf numFmtId="0" fontId="32" fillId="0" borderId="7" xfId="26" applyFont="1" applyBorder="1" applyAlignment="1">
      <alignment horizontal="center" vertical="center"/>
    </xf>
    <xf numFmtId="0" fontId="33" fillId="0" borderId="6" xfId="26" applyFont="1" applyBorder="1" applyAlignment="1">
      <alignment horizontal="center" vertical="center" wrapText="1"/>
    </xf>
    <xf numFmtId="0" fontId="32" fillId="0" borderId="14" xfId="26" applyFont="1" applyBorder="1" applyAlignment="1">
      <alignment horizontal="center" vertical="center"/>
    </xf>
    <xf numFmtId="0" fontId="33" fillId="0" borderId="4" xfId="26" applyFont="1" applyBorder="1" applyAlignment="1">
      <alignment horizontal="center" vertical="center"/>
    </xf>
    <xf numFmtId="0" fontId="33" fillId="0" borderId="15" xfId="26" applyFont="1" applyBorder="1" applyAlignment="1">
      <alignment horizontal="center" vertical="center"/>
    </xf>
    <xf numFmtId="0" fontId="25" fillId="12" borderId="4" xfId="26" applyFont="1" applyFill="1" applyBorder="1" applyAlignment="1">
      <alignment horizontal="center" vertical="center"/>
    </xf>
    <xf numFmtId="0" fontId="30" fillId="0" borderId="8" xfId="26" applyFont="1" applyBorder="1" applyAlignment="1">
      <alignment horizontal="center" vertical="center" wrapText="1"/>
    </xf>
    <xf numFmtId="0" fontId="34" fillId="0" borderId="5" xfId="26" applyFont="1" applyBorder="1" applyAlignment="1">
      <alignment horizontal="center" vertical="center"/>
    </xf>
    <xf numFmtId="0" fontId="35" fillId="0" borderId="6" xfId="26" applyFont="1" applyBorder="1" applyAlignment="1">
      <alignment horizontal="center" vertical="center"/>
    </xf>
    <xf numFmtId="0" fontId="34" fillId="0" borderId="6" xfId="26" applyFont="1" applyBorder="1" applyAlignment="1">
      <alignment horizontal="center" vertical="center"/>
    </xf>
    <xf numFmtId="0" fontId="34" fillId="0" borderId="7" xfId="26" applyFont="1" applyBorder="1" applyAlignment="1">
      <alignment horizontal="center" vertical="center"/>
    </xf>
    <xf numFmtId="0" fontId="35" fillId="0" borderId="7" xfId="26" applyFont="1" applyBorder="1" applyAlignment="1">
      <alignment horizontal="center" vertical="center"/>
    </xf>
    <xf numFmtId="0" fontId="34" fillId="0" borderId="0" xfId="26" applyFont="1" applyAlignment="1">
      <alignment horizontal="center" vertical="center" wrapText="1"/>
    </xf>
    <xf numFmtId="0" fontId="32" fillId="0" borderId="6" xfId="26" applyFont="1" applyBorder="1" applyAlignment="1">
      <alignment horizontal="center"/>
    </xf>
    <xf numFmtId="0" fontId="34" fillId="0" borderId="6" xfId="26" applyFont="1" applyBorder="1" applyAlignment="1">
      <alignment horizontal="center" vertical="center" wrapText="1"/>
    </xf>
    <xf numFmtId="0" fontId="32" fillId="0" borderId="6" xfId="26" applyFont="1" applyBorder="1" applyAlignment="1">
      <alignment horizontal="center" vertical="center" wrapText="1"/>
    </xf>
    <xf numFmtId="0" fontId="34" fillId="0" borderId="6" xfId="26" applyFont="1" applyBorder="1" applyAlignment="1">
      <alignment horizontal="left" vertical="center" wrapText="1"/>
    </xf>
    <xf numFmtId="0" fontId="30" fillId="0" borderId="0" xfId="26" applyFont="1" applyAlignment="1">
      <alignment horizontal="center" vertical="center"/>
    </xf>
    <xf numFmtId="0" fontId="30" fillId="0" borderId="0" xfId="26" applyFont="1" applyAlignment="1">
      <alignment horizontal="center" vertical="center" wrapText="1"/>
    </xf>
    <xf numFmtId="0" fontId="24" fillId="18" borderId="5" xfId="26" applyFont="1" applyFill="1" applyBorder="1" applyAlignment="1">
      <alignment horizontal="center" vertical="center" wrapText="1"/>
    </xf>
    <xf numFmtId="0" fontId="24" fillId="18" borderId="6" xfId="26" applyFont="1" applyFill="1" applyBorder="1" applyAlignment="1">
      <alignment horizontal="center" vertical="center" wrapText="1"/>
    </xf>
    <xf numFmtId="0" fontId="24" fillId="18" borderId="7" xfId="26" applyFont="1" applyFill="1" applyBorder="1" applyAlignment="1">
      <alignment horizontal="center" vertical="center" wrapText="1"/>
    </xf>
    <xf numFmtId="0" fontId="24" fillId="18" borderId="4" xfId="26" applyFont="1" applyFill="1" applyBorder="1" applyAlignment="1">
      <alignment horizontal="center" vertical="center" wrapText="1"/>
    </xf>
    <xf numFmtId="0" fontId="37" fillId="18" borderId="4" xfId="26" applyFont="1" applyFill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38" fillId="0" borderId="0" xfId="0" applyFont="1">
      <alignment horizontal="left" textRotation="45"/>
    </xf>
    <xf numFmtId="0" fontId="27" fillId="14" borderId="0" xfId="0" applyFont="1" applyFill="1" applyAlignment="1">
      <alignment horizontal="center" vertical="center"/>
    </xf>
    <xf numFmtId="0" fontId="25" fillId="14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</cellXfs>
  <cellStyles count="28">
    <cellStyle name="Comma 2" xfId="12" xr:uid="{00000000-0005-0000-0000-000000000000}"/>
    <cellStyle name="Currency" xfId="1" builtinId="4"/>
    <cellStyle name="Normal" xfId="0" builtinId="0"/>
    <cellStyle name="Normal 10" xfId="15" xr:uid="{00000000-0005-0000-0000-000003000000}"/>
    <cellStyle name="Normal 11" xfId="16" xr:uid="{00000000-0005-0000-0000-000004000000}"/>
    <cellStyle name="Normal 12" xfId="17" xr:uid="{00000000-0005-0000-0000-000005000000}"/>
    <cellStyle name="Normal 13" xfId="18" xr:uid="{00000000-0005-0000-0000-000006000000}"/>
    <cellStyle name="Normal 14" xfId="19" xr:uid="{328112CE-D37B-435C-854D-ADFFD5982E6F}"/>
    <cellStyle name="Normal 15" xfId="20" xr:uid="{DECBCF77-5419-46EF-8CFD-A95A80AC54D1}"/>
    <cellStyle name="Normal 16" xfId="22" xr:uid="{266A086B-3FA3-4121-B2D0-A3BC81A13403}"/>
    <cellStyle name="Normal 17" xfId="24" xr:uid="{53216260-053B-4144-A9A8-D729C97266C6}"/>
    <cellStyle name="Normal 18" xfId="25" xr:uid="{4BA7C7CC-633C-4203-ACFB-08110E4BBB48}"/>
    <cellStyle name="Normal 19" xfId="26" xr:uid="{F77067E5-D33E-4A86-B16E-954E64296D4E}"/>
    <cellStyle name="Normal 2" xfId="2" xr:uid="{00000000-0005-0000-0000-000007000000}"/>
    <cellStyle name="Normal 2 2" xfId="3" xr:uid="{00000000-0005-0000-0000-000008000000}"/>
    <cellStyle name="Normal 2 3" xfId="5" xr:uid="{00000000-0005-0000-0000-000009000000}"/>
    <cellStyle name="Normal 2 4" xfId="8" xr:uid="{00000000-0005-0000-0000-00000A000000}"/>
    <cellStyle name="Normal 3" xfId="4" xr:uid="{00000000-0005-0000-0000-00000B000000}"/>
    <cellStyle name="Normal 3 2" xfId="27" xr:uid="{D8A18DFF-9B8F-4EB9-8023-B896938E15CA}"/>
    <cellStyle name="Normal 4" xfId="7" xr:uid="{00000000-0005-0000-0000-00000C000000}"/>
    <cellStyle name="Normal 5" xfId="9" xr:uid="{00000000-0005-0000-0000-00000D000000}"/>
    <cellStyle name="Normal 6" xfId="10" xr:uid="{00000000-0005-0000-0000-00000E000000}"/>
    <cellStyle name="Normal 7" xfId="11" xr:uid="{00000000-0005-0000-0000-00000F000000}"/>
    <cellStyle name="Normal 8" xfId="13" xr:uid="{00000000-0005-0000-0000-000010000000}"/>
    <cellStyle name="Normal 9" xfId="14" xr:uid="{00000000-0005-0000-0000-000011000000}"/>
    <cellStyle name="Normal 9 2" xfId="21" xr:uid="{C224313F-5412-4380-8BB7-7BFC084FA9C8}"/>
    <cellStyle name="Normal 9 3" xfId="23" xr:uid="{6A0A110A-6533-4C87-89FE-C9A78EA0783D}"/>
    <cellStyle name="Normale 2" xfId="6" xr:uid="{00000000-0005-0000-0000-000012000000}"/>
  </cellStyles>
  <dxfs count="1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7" tint="0.39997558519241921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7" tint="0.39997558519241921"/>
        </left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7" tint="0.39997558519241921"/>
        </left>
        <right/>
        <top/>
        <bottom/>
      </border>
      <protection locked="1" hidden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7" tint="0.39997558519241921"/>
        </left>
        <right/>
        <top/>
        <bottom/>
      </border>
      <protection locked="1" hidden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7" tint="0.39997558519241921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7" tint="0.39997558519241921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7" tint="0.39997558519241921"/>
        </left>
        <right/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FCCFF"/>
      <color rgb="FFFF0066"/>
      <color rgb="FFCCCCFF"/>
      <color rgb="FFFF9933"/>
      <color rgb="FF66FFFF"/>
      <color rgb="FF00FF00"/>
      <color rgb="FFCCFF66"/>
      <color rgb="FFFF9999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fs/finanza/FINPLAN/SHARED/Dovayak/LUXQ306%20SHNA%20PRODUC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NPLAN\SHARED\Sunglass%20Hut\2011%20Plan\01-2011\Payroll\grid_hrs_2011_%20Plan_Ja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ifs/finanza/FINPLAN/SHARED/Dovayak/LUXQ307%20SHNA%20PRODUC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700323\Desktop\Weekly%20Reports\Copy%20of%202014%20SGH%20NA%20Facings_Actual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XPQUERYDOC_0-2"/>
      <sheetName val="XPQUERYDOC_0"/>
      <sheetName val="XPQUERYDOC_0-3"/>
      <sheetName val="data q1'04"/>
      <sheetName val="data q2'04"/>
      <sheetName val="data q2'05"/>
      <sheetName val="data q3'04"/>
      <sheetName val="q1'06"/>
      <sheetName val="q3'05"/>
      <sheetName val="Product '06"/>
      <sheetName val="product email"/>
      <sheetName val="Support Sheet"/>
      <sheetName val="data_q1'04"/>
      <sheetName val="data_q2'04"/>
      <sheetName val="data_q2'05"/>
      <sheetName val="data_q3'04"/>
      <sheetName val="Product_'06"/>
      <sheetName val="product_email"/>
      <sheetName val="Support_Sheet"/>
      <sheetName val="Foglio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File"/>
      <sheetName val="hours_calc"/>
      <sheetName val="WJKYSALES"/>
      <sheetName val="Grid"/>
      <sheetName val="Grid Breakout"/>
      <sheetName val="Store Info"/>
    </sheetNames>
    <sheetDataSet>
      <sheetData sheetId="0">
        <row r="4">
          <cell r="C4">
            <v>4936</v>
          </cell>
        </row>
      </sheetData>
      <sheetData sheetId="1">
        <row r="9">
          <cell r="A9">
            <v>2299</v>
          </cell>
        </row>
      </sheetData>
      <sheetData sheetId="2"/>
      <sheetData sheetId="3">
        <row r="12">
          <cell r="A12">
            <v>0</v>
          </cell>
          <cell r="B12">
            <v>0</v>
          </cell>
          <cell r="D12">
            <v>0</v>
          </cell>
          <cell r="E12">
            <v>0</v>
          </cell>
          <cell r="G12">
            <v>0</v>
          </cell>
          <cell r="H12">
            <v>0</v>
          </cell>
          <cell r="J12">
            <v>0</v>
          </cell>
          <cell r="K12">
            <v>0</v>
          </cell>
        </row>
        <row r="13">
          <cell r="A13">
            <v>0.1</v>
          </cell>
          <cell r="B13">
            <v>36</v>
          </cell>
          <cell r="D13">
            <v>0.1</v>
          </cell>
          <cell r="E13">
            <v>39</v>
          </cell>
          <cell r="G13">
            <v>0.1</v>
          </cell>
          <cell r="H13">
            <v>39</v>
          </cell>
          <cell r="J13">
            <v>0.1</v>
          </cell>
          <cell r="K13">
            <v>43.199999999999996</v>
          </cell>
        </row>
        <row r="14">
          <cell r="A14">
            <v>5569.7250000000004</v>
          </cell>
          <cell r="B14">
            <v>37</v>
          </cell>
          <cell r="D14">
            <v>5569.7250000000004</v>
          </cell>
          <cell r="E14">
            <v>40</v>
          </cell>
          <cell r="G14">
            <v>5569.7250000000004</v>
          </cell>
          <cell r="H14">
            <v>40</v>
          </cell>
          <cell r="J14">
            <v>5569.7250000000004</v>
          </cell>
          <cell r="K14">
            <v>44.4</v>
          </cell>
        </row>
        <row r="15">
          <cell r="A15">
            <v>6683.67</v>
          </cell>
          <cell r="B15">
            <v>38</v>
          </cell>
          <cell r="D15">
            <v>6683.67</v>
          </cell>
          <cell r="E15">
            <v>41</v>
          </cell>
          <cell r="G15">
            <v>6683.67</v>
          </cell>
          <cell r="H15">
            <v>41</v>
          </cell>
          <cell r="J15">
            <v>6683.67</v>
          </cell>
          <cell r="K15">
            <v>45.6</v>
          </cell>
        </row>
        <row r="16">
          <cell r="A16">
            <v>7797.6149999999998</v>
          </cell>
          <cell r="B16">
            <v>39</v>
          </cell>
          <cell r="D16">
            <v>7797.6149999999998</v>
          </cell>
          <cell r="E16">
            <v>42</v>
          </cell>
          <cell r="G16">
            <v>7797.6149999999998</v>
          </cell>
          <cell r="H16">
            <v>42</v>
          </cell>
          <cell r="J16">
            <v>7797.6149999999998</v>
          </cell>
          <cell r="K16">
            <v>46.8</v>
          </cell>
        </row>
        <row r="17">
          <cell r="A17">
            <v>8911.56</v>
          </cell>
          <cell r="B17">
            <v>40</v>
          </cell>
          <cell r="D17">
            <v>8911.56</v>
          </cell>
          <cell r="E17">
            <v>43</v>
          </cell>
          <cell r="G17">
            <v>8911.56</v>
          </cell>
          <cell r="H17">
            <v>43</v>
          </cell>
          <cell r="J17">
            <v>8911.56</v>
          </cell>
          <cell r="K17">
            <v>48</v>
          </cell>
        </row>
        <row r="18">
          <cell r="A18">
            <v>10025.505000000001</v>
          </cell>
          <cell r="B18">
            <v>41</v>
          </cell>
          <cell r="D18">
            <v>10025.505000000001</v>
          </cell>
          <cell r="E18">
            <v>44</v>
          </cell>
          <cell r="G18">
            <v>10025.505000000001</v>
          </cell>
          <cell r="H18">
            <v>44</v>
          </cell>
          <cell r="J18">
            <v>10025.505000000001</v>
          </cell>
          <cell r="K18">
            <v>49.199999999999996</v>
          </cell>
        </row>
        <row r="19">
          <cell r="A19">
            <v>11139.45</v>
          </cell>
          <cell r="B19">
            <v>42</v>
          </cell>
          <cell r="D19">
            <v>11139.45</v>
          </cell>
          <cell r="E19">
            <v>45</v>
          </cell>
          <cell r="G19">
            <v>11139.45</v>
          </cell>
          <cell r="H19">
            <v>45</v>
          </cell>
          <cell r="J19">
            <v>11139.45</v>
          </cell>
          <cell r="K19">
            <v>50.4</v>
          </cell>
        </row>
        <row r="20">
          <cell r="A20">
            <v>12253.395</v>
          </cell>
          <cell r="B20">
            <v>43</v>
          </cell>
          <cell r="D20">
            <v>12253.395</v>
          </cell>
          <cell r="E20">
            <v>46</v>
          </cell>
          <cell r="G20">
            <v>12253.395</v>
          </cell>
          <cell r="H20">
            <v>46</v>
          </cell>
          <cell r="J20">
            <v>12253.395</v>
          </cell>
          <cell r="K20">
            <v>51.6</v>
          </cell>
        </row>
        <row r="21">
          <cell r="A21">
            <v>13367.34</v>
          </cell>
          <cell r="B21">
            <v>44</v>
          </cell>
          <cell r="D21">
            <v>13367.34</v>
          </cell>
          <cell r="E21">
            <v>47</v>
          </cell>
          <cell r="G21">
            <v>13367.34</v>
          </cell>
          <cell r="H21">
            <v>47</v>
          </cell>
          <cell r="J21">
            <v>13367.34</v>
          </cell>
          <cell r="K21">
            <v>52.8</v>
          </cell>
        </row>
        <row r="22">
          <cell r="A22">
            <v>14481.285</v>
          </cell>
          <cell r="B22">
            <v>45</v>
          </cell>
          <cell r="D22">
            <v>14481.285</v>
          </cell>
          <cell r="E22">
            <v>48</v>
          </cell>
          <cell r="G22">
            <v>14481.285</v>
          </cell>
          <cell r="H22">
            <v>48</v>
          </cell>
          <cell r="J22">
            <v>14481.285</v>
          </cell>
          <cell r="K22">
            <v>54</v>
          </cell>
        </row>
        <row r="23">
          <cell r="A23">
            <v>15595.23</v>
          </cell>
          <cell r="B23">
            <v>46</v>
          </cell>
          <cell r="D23">
            <v>15595.23</v>
          </cell>
          <cell r="E23">
            <v>49</v>
          </cell>
          <cell r="G23">
            <v>15595.23</v>
          </cell>
          <cell r="H23">
            <v>49</v>
          </cell>
          <cell r="J23">
            <v>15595.23</v>
          </cell>
          <cell r="K23">
            <v>55.199999999999996</v>
          </cell>
        </row>
        <row r="24">
          <cell r="A24">
            <v>16709.174999999999</v>
          </cell>
          <cell r="B24">
            <v>49</v>
          </cell>
          <cell r="D24">
            <v>16709.174999999999</v>
          </cell>
          <cell r="E24">
            <v>51</v>
          </cell>
          <cell r="G24">
            <v>16709.174999999999</v>
          </cell>
          <cell r="H24">
            <v>52</v>
          </cell>
          <cell r="J24">
            <v>16709.174999999999</v>
          </cell>
          <cell r="K24">
            <v>58.8</v>
          </cell>
        </row>
        <row r="25">
          <cell r="A25">
            <v>17823.12</v>
          </cell>
          <cell r="B25">
            <v>52</v>
          </cell>
          <cell r="D25">
            <v>17823.12</v>
          </cell>
          <cell r="E25">
            <v>53</v>
          </cell>
          <cell r="G25">
            <v>17823.12</v>
          </cell>
          <cell r="H25">
            <v>55</v>
          </cell>
          <cell r="J25">
            <v>17823.12</v>
          </cell>
          <cell r="K25">
            <v>62.4</v>
          </cell>
        </row>
        <row r="26">
          <cell r="A26">
            <v>18937.064999999999</v>
          </cell>
          <cell r="B26">
            <v>55</v>
          </cell>
          <cell r="D26">
            <v>18937.064999999999</v>
          </cell>
          <cell r="E26">
            <v>55</v>
          </cell>
          <cell r="G26">
            <v>18937.064999999999</v>
          </cell>
          <cell r="H26">
            <v>58</v>
          </cell>
          <cell r="J26">
            <v>18937.064999999999</v>
          </cell>
          <cell r="K26">
            <v>66</v>
          </cell>
        </row>
        <row r="27">
          <cell r="A27">
            <v>20051.009999999998</v>
          </cell>
          <cell r="B27">
            <v>58</v>
          </cell>
          <cell r="D27">
            <v>20051.009999999998</v>
          </cell>
          <cell r="E27">
            <v>57</v>
          </cell>
          <cell r="G27">
            <v>20051.009999999998</v>
          </cell>
          <cell r="H27">
            <v>61</v>
          </cell>
          <cell r="J27">
            <v>20051.009999999998</v>
          </cell>
          <cell r="K27">
            <v>69.599999999999994</v>
          </cell>
        </row>
        <row r="28">
          <cell r="A28">
            <v>21164.955000000002</v>
          </cell>
          <cell r="B28">
            <v>61</v>
          </cell>
          <cell r="D28">
            <v>21164.955000000002</v>
          </cell>
          <cell r="E28">
            <v>59</v>
          </cell>
          <cell r="G28">
            <v>21164.955000000002</v>
          </cell>
          <cell r="H28">
            <v>64</v>
          </cell>
          <cell r="J28">
            <v>21164.955000000002</v>
          </cell>
          <cell r="K28">
            <v>73.2</v>
          </cell>
        </row>
        <row r="29">
          <cell r="A29">
            <v>22278.9</v>
          </cell>
          <cell r="B29">
            <v>64</v>
          </cell>
          <cell r="D29">
            <v>22278.9</v>
          </cell>
          <cell r="E29">
            <v>61</v>
          </cell>
          <cell r="G29">
            <v>22278.9</v>
          </cell>
          <cell r="H29">
            <v>67</v>
          </cell>
          <cell r="J29">
            <v>22278.9</v>
          </cell>
          <cell r="K29">
            <v>76.8</v>
          </cell>
        </row>
        <row r="30">
          <cell r="A30">
            <v>23392.845000000001</v>
          </cell>
          <cell r="B30">
            <v>67</v>
          </cell>
          <cell r="D30">
            <v>23392.845000000001</v>
          </cell>
          <cell r="E30">
            <v>63</v>
          </cell>
          <cell r="G30">
            <v>23392.845000000001</v>
          </cell>
          <cell r="H30">
            <v>70</v>
          </cell>
          <cell r="J30">
            <v>23392.845000000001</v>
          </cell>
          <cell r="K30">
            <v>80.399999999999991</v>
          </cell>
        </row>
        <row r="31">
          <cell r="A31">
            <v>24506.79</v>
          </cell>
          <cell r="B31">
            <v>70</v>
          </cell>
          <cell r="D31">
            <v>24506.79</v>
          </cell>
          <cell r="E31">
            <v>65</v>
          </cell>
          <cell r="G31">
            <v>24506.79</v>
          </cell>
          <cell r="H31">
            <v>73</v>
          </cell>
          <cell r="J31">
            <v>24506.79</v>
          </cell>
          <cell r="K31">
            <v>84</v>
          </cell>
        </row>
        <row r="32">
          <cell r="A32">
            <v>25620.735000000001</v>
          </cell>
          <cell r="B32">
            <v>73</v>
          </cell>
          <cell r="D32">
            <v>25620.735000000001</v>
          </cell>
          <cell r="E32">
            <v>67</v>
          </cell>
          <cell r="G32">
            <v>25620.735000000001</v>
          </cell>
          <cell r="H32">
            <v>76</v>
          </cell>
          <cell r="J32">
            <v>25620.735000000001</v>
          </cell>
          <cell r="K32">
            <v>87.6</v>
          </cell>
        </row>
        <row r="33">
          <cell r="A33">
            <v>26734.68</v>
          </cell>
          <cell r="B33">
            <v>76</v>
          </cell>
          <cell r="D33">
            <v>26734.68</v>
          </cell>
          <cell r="E33">
            <v>69</v>
          </cell>
          <cell r="G33">
            <v>26734.68</v>
          </cell>
          <cell r="H33">
            <v>79</v>
          </cell>
          <cell r="J33">
            <v>26734.68</v>
          </cell>
          <cell r="K33">
            <v>91.2</v>
          </cell>
        </row>
        <row r="34">
          <cell r="A34">
            <v>27848.625</v>
          </cell>
          <cell r="B34">
            <v>79</v>
          </cell>
          <cell r="D34">
            <v>27848.625</v>
          </cell>
          <cell r="E34">
            <v>72</v>
          </cell>
          <cell r="G34">
            <v>27848.625</v>
          </cell>
          <cell r="H34">
            <v>82</v>
          </cell>
          <cell r="J34">
            <v>27848.625</v>
          </cell>
          <cell r="K34">
            <v>94.8</v>
          </cell>
        </row>
        <row r="35">
          <cell r="A35">
            <v>28962.57</v>
          </cell>
          <cell r="B35">
            <v>82</v>
          </cell>
          <cell r="D35">
            <v>28962.57</v>
          </cell>
          <cell r="E35">
            <v>75</v>
          </cell>
          <cell r="G35">
            <v>28962.57</v>
          </cell>
          <cell r="H35">
            <v>85</v>
          </cell>
          <cell r="J35">
            <v>28962.57</v>
          </cell>
          <cell r="K35">
            <v>98.399999999999991</v>
          </cell>
        </row>
        <row r="36">
          <cell r="A36">
            <v>30076.514999999999</v>
          </cell>
          <cell r="B36">
            <v>85</v>
          </cell>
          <cell r="D36">
            <v>30076.514999999999</v>
          </cell>
          <cell r="E36">
            <v>78</v>
          </cell>
          <cell r="G36">
            <v>30076.514999999999</v>
          </cell>
          <cell r="H36">
            <v>88</v>
          </cell>
          <cell r="J36">
            <v>30076.514999999999</v>
          </cell>
          <cell r="K36">
            <v>102</v>
          </cell>
        </row>
        <row r="37">
          <cell r="A37">
            <v>31190.46</v>
          </cell>
          <cell r="B37">
            <v>88</v>
          </cell>
          <cell r="D37">
            <v>31190.46</v>
          </cell>
          <cell r="E37">
            <v>81</v>
          </cell>
          <cell r="G37">
            <v>31190.46</v>
          </cell>
          <cell r="H37">
            <v>91</v>
          </cell>
          <cell r="J37">
            <v>31190.46</v>
          </cell>
          <cell r="K37">
            <v>105.6</v>
          </cell>
        </row>
        <row r="38">
          <cell r="A38">
            <v>32304.405000000002</v>
          </cell>
          <cell r="B38">
            <v>91</v>
          </cell>
          <cell r="D38">
            <v>32304.405000000002</v>
          </cell>
          <cell r="E38">
            <v>84</v>
          </cell>
          <cell r="G38">
            <v>32304.405000000002</v>
          </cell>
          <cell r="H38">
            <v>94</v>
          </cell>
          <cell r="J38">
            <v>32304.405000000002</v>
          </cell>
          <cell r="K38">
            <v>109.2</v>
          </cell>
        </row>
        <row r="39">
          <cell r="A39">
            <v>33418.35</v>
          </cell>
          <cell r="B39">
            <v>94</v>
          </cell>
          <cell r="D39">
            <v>33418.35</v>
          </cell>
          <cell r="E39">
            <v>87</v>
          </cell>
          <cell r="G39">
            <v>33418.35</v>
          </cell>
          <cell r="H39">
            <v>97</v>
          </cell>
          <cell r="J39">
            <v>33418.35</v>
          </cell>
          <cell r="K39">
            <v>112.8</v>
          </cell>
        </row>
        <row r="40">
          <cell r="A40">
            <v>34532.294999999998</v>
          </cell>
          <cell r="B40">
            <v>97</v>
          </cell>
          <cell r="D40">
            <v>34532.294999999998</v>
          </cell>
          <cell r="E40">
            <v>90</v>
          </cell>
          <cell r="G40">
            <v>34532.294999999998</v>
          </cell>
          <cell r="H40">
            <v>100</v>
          </cell>
          <cell r="J40">
            <v>34532.294999999998</v>
          </cell>
          <cell r="K40">
            <v>116.39999999999999</v>
          </cell>
        </row>
        <row r="41">
          <cell r="A41">
            <v>35646.239999999998</v>
          </cell>
          <cell r="B41">
            <v>100</v>
          </cell>
          <cell r="D41">
            <v>35646.239999999998</v>
          </cell>
          <cell r="E41">
            <v>93</v>
          </cell>
          <cell r="G41">
            <v>35646.239999999998</v>
          </cell>
          <cell r="H41">
            <v>103</v>
          </cell>
          <cell r="J41">
            <v>35646.239999999998</v>
          </cell>
          <cell r="K41">
            <v>120</v>
          </cell>
        </row>
        <row r="42">
          <cell r="A42">
            <v>36760.184999999998</v>
          </cell>
          <cell r="B42">
            <v>103</v>
          </cell>
          <cell r="D42">
            <v>36760.184999999998</v>
          </cell>
          <cell r="E42">
            <v>96</v>
          </cell>
          <cell r="G42">
            <v>36760.184999999998</v>
          </cell>
          <cell r="H42">
            <v>106</v>
          </cell>
          <cell r="J42">
            <v>36760.184999999998</v>
          </cell>
          <cell r="K42">
            <v>123.6</v>
          </cell>
        </row>
        <row r="43">
          <cell r="A43">
            <v>37874.129999999997</v>
          </cell>
          <cell r="B43">
            <v>106</v>
          </cell>
          <cell r="D43">
            <v>37874.129999999997</v>
          </cell>
          <cell r="E43">
            <v>99</v>
          </cell>
          <cell r="G43">
            <v>37874.129999999997</v>
          </cell>
          <cell r="H43">
            <v>109</v>
          </cell>
          <cell r="J43">
            <v>37874.129999999997</v>
          </cell>
          <cell r="K43">
            <v>127.19999999999999</v>
          </cell>
        </row>
        <row r="44">
          <cell r="A44">
            <v>38988.075000000004</v>
          </cell>
          <cell r="B44">
            <v>109</v>
          </cell>
          <cell r="D44">
            <v>38988.075000000004</v>
          </cell>
          <cell r="E44">
            <v>102</v>
          </cell>
          <cell r="G44">
            <v>38988.075000000004</v>
          </cell>
          <cell r="H44">
            <v>112</v>
          </cell>
          <cell r="J44">
            <v>38988.075000000004</v>
          </cell>
          <cell r="K44">
            <v>130.79999999999998</v>
          </cell>
        </row>
        <row r="45">
          <cell r="A45">
            <v>40102.019999999997</v>
          </cell>
          <cell r="B45">
            <v>112</v>
          </cell>
          <cell r="D45">
            <v>40102.019999999997</v>
          </cell>
          <cell r="E45">
            <v>105</v>
          </cell>
          <cell r="G45">
            <v>40102.019999999997</v>
          </cell>
          <cell r="H45">
            <v>115</v>
          </cell>
          <cell r="J45">
            <v>40102.019999999997</v>
          </cell>
          <cell r="K45">
            <v>134.4</v>
          </cell>
        </row>
        <row r="46">
          <cell r="A46">
            <v>41215.965000000004</v>
          </cell>
          <cell r="B46">
            <v>115</v>
          </cell>
          <cell r="D46">
            <v>41215.965000000004</v>
          </cell>
          <cell r="E46">
            <v>108</v>
          </cell>
          <cell r="G46">
            <v>41215.965000000004</v>
          </cell>
          <cell r="H46">
            <v>118</v>
          </cell>
          <cell r="J46">
            <v>41215.965000000004</v>
          </cell>
          <cell r="K46">
            <v>138</v>
          </cell>
        </row>
        <row r="47">
          <cell r="A47">
            <v>42329.91</v>
          </cell>
          <cell r="B47">
            <v>118</v>
          </cell>
          <cell r="D47">
            <v>42329.91</v>
          </cell>
          <cell r="E47">
            <v>111</v>
          </cell>
          <cell r="G47">
            <v>42329.91</v>
          </cell>
          <cell r="H47">
            <v>121</v>
          </cell>
          <cell r="J47">
            <v>42329.91</v>
          </cell>
          <cell r="K47">
            <v>141.6</v>
          </cell>
        </row>
        <row r="48">
          <cell r="A48">
            <v>43443.855000000003</v>
          </cell>
          <cell r="B48">
            <v>121</v>
          </cell>
          <cell r="D48">
            <v>43443.855000000003</v>
          </cell>
          <cell r="E48">
            <v>114</v>
          </cell>
          <cell r="G48">
            <v>43443.855000000003</v>
          </cell>
          <cell r="H48">
            <v>124</v>
          </cell>
          <cell r="J48">
            <v>43443.855000000003</v>
          </cell>
          <cell r="K48">
            <v>145.19999999999999</v>
          </cell>
        </row>
        <row r="49">
          <cell r="A49">
            <v>44557.8</v>
          </cell>
          <cell r="B49">
            <v>124</v>
          </cell>
          <cell r="D49">
            <v>44557.8</v>
          </cell>
          <cell r="E49">
            <v>117</v>
          </cell>
          <cell r="G49">
            <v>44557.8</v>
          </cell>
          <cell r="H49">
            <v>127</v>
          </cell>
          <cell r="J49">
            <v>44557.8</v>
          </cell>
          <cell r="K49">
            <v>148.79999999999998</v>
          </cell>
        </row>
        <row r="50">
          <cell r="A50">
            <v>45671.745000000003</v>
          </cell>
          <cell r="B50">
            <v>127</v>
          </cell>
          <cell r="D50">
            <v>45671.745000000003</v>
          </cell>
          <cell r="E50">
            <v>120</v>
          </cell>
          <cell r="G50">
            <v>45671.745000000003</v>
          </cell>
          <cell r="H50">
            <v>130</v>
          </cell>
          <cell r="J50">
            <v>45671.745000000003</v>
          </cell>
          <cell r="K50">
            <v>152.4</v>
          </cell>
        </row>
        <row r="51">
          <cell r="A51">
            <v>46785.69</v>
          </cell>
          <cell r="B51">
            <v>130</v>
          </cell>
          <cell r="D51">
            <v>46785.69</v>
          </cell>
          <cell r="E51">
            <v>123</v>
          </cell>
          <cell r="G51">
            <v>46785.69</v>
          </cell>
          <cell r="H51">
            <v>133</v>
          </cell>
          <cell r="J51">
            <v>46785.69</v>
          </cell>
          <cell r="K51">
            <v>156</v>
          </cell>
        </row>
        <row r="52">
          <cell r="A52">
            <v>47899.635000000002</v>
          </cell>
          <cell r="B52">
            <v>133</v>
          </cell>
          <cell r="D52">
            <v>47899.635000000002</v>
          </cell>
          <cell r="E52">
            <v>126</v>
          </cell>
          <cell r="G52">
            <v>47899.635000000002</v>
          </cell>
          <cell r="H52">
            <v>136</v>
          </cell>
          <cell r="J52">
            <v>47899.635000000002</v>
          </cell>
          <cell r="K52">
            <v>159.6</v>
          </cell>
        </row>
        <row r="53">
          <cell r="A53">
            <v>49013.58</v>
          </cell>
          <cell r="B53">
            <v>136</v>
          </cell>
          <cell r="D53">
            <v>49013.58</v>
          </cell>
          <cell r="E53">
            <v>129</v>
          </cell>
          <cell r="G53">
            <v>49013.58</v>
          </cell>
          <cell r="H53">
            <v>139</v>
          </cell>
          <cell r="J53">
            <v>49013.58</v>
          </cell>
          <cell r="K53">
            <v>163.19999999999999</v>
          </cell>
        </row>
        <row r="54">
          <cell r="A54">
            <v>50127.525000000001</v>
          </cell>
          <cell r="B54">
            <v>139</v>
          </cell>
          <cell r="D54">
            <v>50127.525000000001</v>
          </cell>
          <cell r="E54">
            <v>132</v>
          </cell>
          <cell r="G54">
            <v>50127.525000000001</v>
          </cell>
          <cell r="H54">
            <v>142</v>
          </cell>
          <cell r="J54">
            <v>50127.525000000001</v>
          </cell>
          <cell r="K54">
            <v>166.79999999999998</v>
          </cell>
        </row>
        <row r="55">
          <cell r="A55">
            <v>51241.47</v>
          </cell>
          <cell r="B55">
            <v>142</v>
          </cell>
          <cell r="D55">
            <v>51241.47</v>
          </cell>
          <cell r="E55">
            <v>135</v>
          </cell>
          <cell r="G55">
            <v>51241.47</v>
          </cell>
          <cell r="H55">
            <v>145</v>
          </cell>
          <cell r="J55">
            <v>51241.47</v>
          </cell>
          <cell r="K55">
            <v>170.4</v>
          </cell>
        </row>
        <row r="56">
          <cell r="A56">
            <v>52355.415000000001</v>
          </cell>
          <cell r="B56">
            <v>145</v>
          </cell>
          <cell r="D56">
            <v>52355.415000000001</v>
          </cell>
          <cell r="E56">
            <v>138</v>
          </cell>
          <cell r="G56">
            <v>52355.415000000001</v>
          </cell>
          <cell r="H56">
            <v>148</v>
          </cell>
          <cell r="J56">
            <v>52355.415000000001</v>
          </cell>
          <cell r="K56">
            <v>174</v>
          </cell>
        </row>
        <row r="57">
          <cell r="A57">
            <v>53469.36</v>
          </cell>
          <cell r="B57">
            <v>148</v>
          </cell>
          <cell r="D57">
            <v>53469.36</v>
          </cell>
          <cell r="E57">
            <v>141</v>
          </cell>
          <cell r="G57">
            <v>53469.36</v>
          </cell>
          <cell r="H57">
            <v>151</v>
          </cell>
          <cell r="J57">
            <v>53469.36</v>
          </cell>
          <cell r="K57">
            <v>177.6</v>
          </cell>
        </row>
        <row r="58">
          <cell r="A58">
            <v>54583.305</v>
          </cell>
          <cell r="B58">
            <v>151</v>
          </cell>
          <cell r="D58">
            <v>54583.305</v>
          </cell>
          <cell r="E58">
            <v>144</v>
          </cell>
          <cell r="G58">
            <v>54583.305</v>
          </cell>
          <cell r="H58">
            <v>154</v>
          </cell>
          <cell r="J58">
            <v>54583.305</v>
          </cell>
          <cell r="K58">
            <v>181.2</v>
          </cell>
        </row>
        <row r="59">
          <cell r="A59">
            <v>55697.25</v>
          </cell>
          <cell r="B59">
            <v>154</v>
          </cell>
          <cell r="D59">
            <v>55697.25</v>
          </cell>
          <cell r="E59">
            <v>147</v>
          </cell>
          <cell r="G59">
            <v>55697.25</v>
          </cell>
          <cell r="H59">
            <v>157</v>
          </cell>
          <cell r="J59">
            <v>55697.25</v>
          </cell>
          <cell r="K59">
            <v>184.79999999999998</v>
          </cell>
        </row>
        <row r="60">
          <cell r="A60">
            <v>56811.195</v>
          </cell>
          <cell r="B60">
            <v>157</v>
          </cell>
          <cell r="D60">
            <v>56811.195</v>
          </cell>
          <cell r="E60">
            <v>150</v>
          </cell>
          <cell r="G60">
            <v>56811.195</v>
          </cell>
          <cell r="H60">
            <v>160</v>
          </cell>
          <cell r="J60">
            <v>56811.195</v>
          </cell>
          <cell r="K60">
            <v>188.4</v>
          </cell>
        </row>
        <row r="61">
          <cell r="A61">
            <v>57925.14</v>
          </cell>
          <cell r="B61">
            <v>160</v>
          </cell>
          <cell r="D61">
            <v>57925.14</v>
          </cell>
          <cell r="E61">
            <v>153</v>
          </cell>
          <cell r="G61">
            <v>57925.14</v>
          </cell>
          <cell r="H61">
            <v>163</v>
          </cell>
          <cell r="J61">
            <v>57925.14</v>
          </cell>
          <cell r="K61">
            <v>192</v>
          </cell>
        </row>
        <row r="62">
          <cell r="A62">
            <v>59039.084999999999</v>
          </cell>
          <cell r="B62">
            <v>163</v>
          </cell>
          <cell r="D62">
            <v>59039.084999999999</v>
          </cell>
          <cell r="E62">
            <v>156</v>
          </cell>
          <cell r="G62">
            <v>59039.084999999999</v>
          </cell>
          <cell r="H62">
            <v>166</v>
          </cell>
          <cell r="J62">
            <v>59039.084999999999</v>
          </cell>
          <cell r="K62">
            <v>195.6</v>
          </cell>
        </row>
        <row r="63">
          <cell r="A63">
            <v>60153.03</v>
          </cell>
          <cell r="B63">
            <v>166</v>
          </cell>
          <cell r="D63">
            <v>60153.03</v>
          </cell>
          <cell r="E63">
            <v>159</v>
          </cell>
          <cell r="G63">
            <v>60153.03</v>
          </cell>
          <cell r="H63">
            <v>169</v>
          </cell>
          <cell r="J63">
            <v>60153.03</v>
          </cell>
          <cell r="K63">
            <v>199.2</v>
          </cell>
        </row>
        <row r="64">
          <cell r="A64">
            <v>61266.974999999999</v>
          </cell>
          <cell r="B64">
            <v>169</v>
          </cell>
          <cell r="D64">
            <v>61266.974999999999</v>
          </cell>
          <cell r="E64">
            <v>162</v>
          </cell>
          <cell r="G64">
            <v>61266.974999999999</v>
          </cell>
          <cell r="H64">
            <v>172</v>
          </cell>
          <cell r="J64">
            <v>61266.974999999999</v>
          </cell>
          <cell r="K64">
            <v>202.79999999999998</v>
          </cell>
        </row>
        <row r="65">
          <cell r="A65">
            <v>62380.92</v>
          </cell>
          <cell r="B65">
            <v>172</v>
          </cell>
          <cell r="D65">
            <v>62380.92</v>
          </cell>
          <cell r="E65">
            <v>165</v>
          </cell>
          <cell r="G65">
            <v>62380.92</v>
          </cell>
          <cell r="H65">
            <v>175</v>
          </cell>
          <cell r="J65">
            <v>62380.92</v>
          </cell>
          <cell r="K65">
            <v>206.4</v>
          </cell>
        </row>
        <row r="66">
          <cell r="A66">
            <v>63494.865000000005</v>
          </cell>
          <cell r="B66">
            <v>175</v>
          </cell>
          <cell r="D66">
            <v>63494.865000000005</v>
          </cell>
          <cell r="E66">
            <v>168</v>
          </cell>
          <cell r="G66">
            <v>63494.865000000005</v>
          </cell>
          <cell r="H66">
            <v>178</v>
          </cell>
          <cell r="J66">
            <v>63494.865000000005</v>
          </cell>
          <cell r="K66">
            <v>210</v>
          </cell>
        </row>
        <row r="67">
          <cell r="A67">
            <v>64608.81</v>
          </cell>
          <cell r="B67">
            <v>178</v>
          </cell>
          <cell r="D67">
            <v>64608.81</v>
          </cell>
          <cell r="E67">
            <v>171</v>
          </cell>
          <cell r="G67">
            <v>64608.81</v>
          </cell>
          <cell r="H67">
            <v>181</v>
          </cell>
          <cell r="J67">
            <v>64608.81</v>
          </cell>
          <cell r="K67">
            <v>213.6</v>
          </cell>
        </row>
        <row r="68">
          <cell r="A68">
            <v>65722.755000000005</v>
          </cell>
          <cell r="B68">
            <v>181</v>
          </cell>
          <cell r="D68">
            <v>65722.755000000005</v>
          </cell>
          <cell r="E68">
            <v>174</v>
          </cell>
          <cell r="G68">
            <v>65722.755000000005</v>
          </cell>
          <cell r="H68">
            <v>184</v>
          </cell>
          <cell r="J68">
            <v>65722.755000000005</v>
          </cell>
          <cell r="K68">
            <v>217.2</v>
          </cell>
        </row>
        <row r="69">
          <cell r="A69">
            <v>66836.7</v>
          </cell>
          <cell r="B69">
            <v>184</v>
          </cell>
          <cell r="D69">
            <v>66836.7</v>
          </cell>
          <cell r="E69">
            <v>177</v>
          </cell>
          <cell r="G69">
            <v>66836.7</v>
          </cell>
          <cell r="H69">
            <v>187</v>
          </cell>
          <cell r="J69">
            <v>66836.7</v>
          </cell>
          <cell r="K69">
            <v>220.79999999999998</v>
          </cell>
        </row>
        <row r="70">
          <cell r="A70">
            <v>67950.645000000004</v>
          </cell>
          <cell r="B70">
            <v>187</v>
          </cell>
          <cell r="D70">
            <v>67950.645000000004</v>
          </cell>
          <cell r="E70">
            <v>180</v>
          </cell>
          <cell r="G70">
            <v>67950.645000000004</v>
          </cell>
          <cell r="H70">
            <v>190</v>
          </cell>
          <cell r="J70">
            <v>67950.645000000004</v>
          </cell>
          <cell r="K70">
            <v>224.4</v>
          </cell>
        </row>
        <row r="71">
          <cell r="A71">
            <v>69064.59</v>
          </cell>
          <cell r="B71">
            <v>190</v>
          </cell>
          <cell r="D71">
            <v>69064.59</v>
          </cell>
          <cell r="E71">
            <v>183</v>
          </cell>
          <cell r="G71">
            <v>69064.59</v>
          </cell>
          <cell r="H71">
            <v>193</v>
          </cell>
          <cell r="J71">
            <v>69064.59</v>
          </cell>
          <cell r="K71">
            <v>228</v>
          </cell>
        </row>
        <row r="72">
          <cell r="A72">
            <v>70178.535000000003</v>
          </cell>
          <cell r="B72">
            <v>193</v>
          </cell>
          <cell r="D72">
            <v>70178.535000000003</v>
          </cell>
          <cell r="E72">
            <v>186</v>
          </cell>
          <cell r="G72">
            <v>70178.535000000003</v>
          </cell>
          <cell r="H72">
            <v>196</v>
          </cell>
          <cell r="J72">
            <v>70178.535000000003</v>
          </cell>
          <cell r="K72">
            <v>231.6</v>
          </cell>
        </row>
        <row r="73">
          <cell r="A73">
            <v>71292.479999999996</v>
          </cell>
          <cell r="B73">
            <v>196</v>
          </cell>
          <cell r="D73">
            <v>71292.479999999996</v>
          </cell>
          <cell r="E73">
            <v>189</v>
          </cell>
          <cell r="G73">
            <v>71292.479999999996</v>
          </cell>
          <cell r="H73">
            <v>199</v>
          </cell>
          <cell r="J73">
            <v>71292.479999999996</v>
          </cell>
          <cell r="K73">
            <v>235.2</v>
          </cell>
        </row>
        <row r="74">
          <cell r="A74">
            <v>72406.425000000003</v>
          </cell>
          <cell r="B74">
            <v>199</v>
          </cell>
          <cell r="D74">
            <v>72406.425000000003</v>
          </cell>
          <cell r="E74">
            <v>192</v>
          </cell>
          <cell r="G74">
            <v>72406.425000000003</v>
          </cell>
          <cell r="H74">
            <v>202</v>
          </cell>
          <cell r="J74">
            <v>72406.425000000003</v>
          </cell>
          <cell r="K74">
            <v>238.79999999999998</v>
          </cell>
        </row>
        <row r="75">
          <cell r="A75">
            <v>73520.37</v>
          </cell>
          <cell r="B75">
            <v>202</v>
          </cell>
          <cell r="D75">
            <v>73520.37</v>
          </cell>
          <cell r="E75">
            <v>195</v>
          </cell>
          <cell r="G75">
            <v>73520.37</v>
          </cell>
          <cell r="H75">
            <v>205</v>
          </cell>
          <cell r="J75">
            <v>73520.37</v>
          </cell>
          <cell r="K75">
            <v>242.39999999999998</v>
          </cell>
        </row>
        <row r="76">
          <cell r="A76">
            <v>74634.315000000002</v>
          </cell>
          <cell r="B76">
            <v>205</v>
          </cell>
          <cell r="D76">
            <v>74634.315000000002</v>
          </cell>
          <cell r="E76">
            <v>198</v>
          </cell>
          <cell r="G76">
            <v>74634.315000000002</v>
          </cell>
          <cell r="H76">
            <v>208</v>
          </cell>
          <cell r="J76">
            <v>74634.315000000002</v>
          </cell>
          <cell r="K76">
            <v>246</v>
          </cell>
        </row>
        <row r="77">
          <cell r="A77">
            <v>75748.259999999995</v>
          </cell>
          <cell r="B77">
            <v>208</v>
          </cell>
          <cell r="D77">
            <v>75748.259999999995</v>
          </cell>
          <cell r="E77">
            <v>201</v>
          </cell>
          <cell r="G77">
            <v>75748.259999999995</v>
          </cell>
          <cell r="H77">
            <v>211</v>
          </cell>
          <cell r="J77">
            <v>75748.259999999995</v>
          </cell>
          <cell r="K77">
            <v>249.6</v>
          </cell>
        </row>
        <row r="78">
          <cell r="A78">
            <v>76862.205000000002</v>
          </cell>
          <cell r="B78">
            <v>211</v>
          </cell>
          <cell r="D78">
            <v>76862.205000000002</v>
          </cell>
          <cell r="E78">
            <v>204</v>
          </cell>
          <cell r="G78">
            <v>76862.205000000002</v>
          </cell>
          <cell r="H78">
            <v>214</v>
          </cell>
          <cell r="J78">
            <v>76862.205000000002</v>
          </cell>
          <cell r="K78">
            <v>253.2</v>
          </cell>
        </row>
        <row r="79">
          <cell r="A79">
            <v>77976.149999999994</v>
          </cell>
          <cell r="B79">
            <v>214</v>
          </cell>
          <cell r="D79">
            <v>77976.149999999994</v>
          </cell>
          <cell r="E79">
            <v>207</v>
          </cell>
          <cell r="G79">
            <v>77976.149999999994</v>
          </cell>
          <cell r="H79">
            <v>217</v>
          </cell>
          <cell r="J79">
            <v>77976.149999999994</v>
          </cell>
          <cell r="K79">
            <v>256.8</v>
          </cell>
        </row>
        <row r="80">
          <cell r="A80">
            <v>79090.095000000001</v>
          </cell>
          <cell r="B80">
            <v>217</v>
          </cell>
          <cell r="D80">
            <v>79090.095000000001</v>
          </cell>
          <cell r="E80">
            <v>210</v>
          </cell>
          <cell r="G80">
            <v>79090.095000000001</v>
          </cell>
          <cell r="H80">
            <v>220</v>
          </cell>
          <cell r="J80">
            <v>79090.095000000001</v>
          </cell>
          <cell r="K80">
            <v>260.39999999999998</v>
          </cell>
        </row>
        <row r="81">
          <cell r="A81">
            <v>80204.039999999994</v>
          </cell>
          <cell r="B81">
            <v>220</v>
          </cell>
          <cell r="D81">
            <v>80204.039999999994</v>
          </cell>
          <cell r="E81">
            <v>213</v>
          </cell>
          <cell r="G81">
            <v>80204.039999999994</v>
          </cell>
          <cell r="H81">
            <v>223</v>
          </cell>
          <cell r="J81">
            <v>80204.039999999994</v>
          </cell>
          <cell r="K81">
            <v>264</v>
          </cell>
        </row>
        <row r="82">
          <cell r="A82">
            <v>81317.985000000001</v>
          </cell>
          <cell r="B82">
            <v>223</v>
          </cell>
          <cell r="D82">
            <v>81317.985000000001</v>
          </cell>
          <cell r="E82">
            <v>216</v>
          </cell>
          <cell r="G82">
            <v>81317.985000000001</v>
          </cell>
          <cell r="H82">
            <v>226</v>
          </cell>
          <cell r="J82">
            <v>81317.985000000001</v>
          </cell>
          <cell r="K82">
            <v>267.59999999999997</v>
          </cell>
        </row>
        <row r="83">
          <cell r="A83">
            <v>82431.929999999993</v>
          </cell>
          <cell r="B83">
            <v>226</v>
          </cell>
          <cell r="D83">
            <v>82431.929999999993</v>
          </cell>
          <cell r="E83">
            <v>219</v>
          </cell>
          <cell r="G83">
            <v>82431.929999999993</v>
          </cell>
          <cell r="H83">
            <v>229</v>
          </cell>
          <cell r="J83">
            <v>82431.929999999993</v>
          </cell>
          <cell r="K83">
            <v>271.2</v>
          </cell>
        </row>
        <row r="84">
          <cell r="A84">
            <v>83545.875</v>
          </cell>
          <cell r="B84">
            <v>229</v>
          </cell>
          <cell r="D84">
            <v>83545.875</v>
          </cell>
          <cell r="E84">
            <v>222</v>
          </cell>
          <cell r="G84">
            <v>83545.875</v>
          </cell>
          <cell r="H84">
            <v>232</v>
          </cell>
          <cell r="J84">
            <v>83545.875</v>
          </cell>
          <cell r="K84">
            <v>274.8</v>
          </cell>
        </row>
        <row r="85">
          <cell r="A85">
            <v>84659.82</v>
          </cell>
          <cell r="B85">
            <v>232</v>
          </cell>
          <cell r="D85">
            <v>84659.82</v>
          </cell>
          <cell r="E85">
            <v>225</v>
          </cell>
          <cell r="G85">
            <v>84659.82</v>
          </cell>
          <cell r="H85">
            <v>235</v>
          </cell>
          <cell r="J85">
            <v>84659.82</v>
          </cell>
          <cell r="K85">
            <v>278.39999999999998</v>
          </cell>
        </row>
        <row r="86">
          <cell r="A86">
            <v>85773.764999999999</v>
          </cell>
          <cell r="B86">
            <v>235</v>
          </cell>
          <cell r="D86">
            <v>85773.764999999999</v>
          </cell>
          <cell r="E86">
            <v>228</v>
          </cell>
          <cell r="G86">
            <v>85773.764999999999</v>
          </cell>
          <cell r="H86">
            <v>238</v>
          </cell>
          <cell r="J86">
            <v>85773.764999999999</v>
          </cell>
          <cell r="K86">
            <v>282</v>
          </cell>
        </row>
        <row r="87">
          <cell r="A87">
            <v>86887.71</v>
          </cell>
          <cell r="B87">
            <v>238</v>
          </cell>
          <cell r="D87">
            <v>86887.71</v>
          </cell>
          <cell r="E87">
            <v>231</v>
          </cell>
          <cell r="G87">
            <v>86887.71</v>
          </cell>
          <cell r="H87">
            <v>241</v>
          </cell>
          <cell r="J87">
            <v>86887.71</v>
          </cell>
          <cell r="K87">
            <v>285.59999999999997</v>
          </cell>
        </row>
        <row r="88">
          <cell r="A88">
            <v>88001.654999999999</v>
          </cell>
          <cell r="B88">
            <v>241</v>
          </cell>
          <cell r="D88">
            <v>88001.654999999999</v>
          </cell>
          <cell r="E88">
            <v>234</v>
          </cell>
          <cell r="G88">
            <v>88001.654999999999</v>
          </cell>
          <cell r="H88">
            <v>244</v>
          </cell>
          <cell r="J88">
            <v>88001.654999999999</v>
          </cell>
          <cell r="K88">
            <v>289.2</v>
          </cell>
        </row>
        <row r="89">
          <cell r="A89">
            <v>89115.6</v>
          </cell>
          <cell r="B89">
            <v>244</v>
          </cell>
          <cell r="D89">
            <v>89115.6</v>
          </cell>
          <cell r="E89">
            <v>237</v>
          </cell>
          <cell r="G89">
            <v>89115.6</v>
          </cell>
          <cell r="H89">
            <v>247</v>
          </cell>
          <cell r="J89">
            <v>89115.6</v>
          </cell>
          <cell r="K89">
            <v>292.8</v>
          </cell>
        </row>
        <row r="90">
          <cell r="A90">
            <v>90229.544999999998</v>
          </cell>
          <cell r="B90">
            <v>247</v>
          </cell>
          <cell r="D90">
            <v>90229.544999999998</v>
          </cell>
          <cell r="E90">
            <v>240</v>
          </cell>
          <cell r="G90">
            <v>90229.544999999998</v>
          </cell>
          <cell r="H90">
            <v>250</v>
          </cell>
          <cell r="J90">
            <v>90229.544999999998</v>
          </cell>
          <cell r="K90">
            <v>296.39999999999998</v>
          </cell>
        </row>
        <row r="91">
          <cell r="A91">
            <v>91343.49</v>
          </cell>
          <cell r="B91">
            <v>250</v>
          </cell>
          <cell r="D91">
            <v>91343.49</v>
          </cell>
          <cell r="E91">
            <v>243</v>
          </cell>
          <cell r="G91">
            <v>91343.49</v>
          </cell>
          <cell r="H91">
            <v>253</v>
          </cell>
          <cell r="J91">
            <v>91343.49</v>
          </cell>
          <cell r="K91">
            <v>300</v>
          </cell>
        </row>
        <row r="92">
          <cell r="A92">
            <v>92457.434999999998</v>
          </cell>
          <cell r="B92">
            <v>253</v>
          </cell>
          <cell r="D92">
            <v>92457.434999999998</v>
          </cell>
          <cell r="E92">
            <v>246</v>
          </cell>
          <cell r="G92">
            <v>92457.434999999998</v>
          </cell>
          <cell r="H92">
            <v>256</v>
          </cell>
          <cell r="J92">
            <v>92457.434999999998</v>
          </cell>
          <cell r="K92">
            <v>303.59999999999997</v>
          </cell>
        </row>
        <row r="93">
          <cell r="A93">
            <v>93571.38</v>
          </cell>
          <cell r="B93">
            <v>256</v>
          </cell>
          <cell r="D93">
            <v>93571.38</v>
          </cell>
          <cell r="E93">
            <v>249</v>
          </cell>
          <cell r="G93">
            <v>93571.38</v>
          </cell>
          <cell r="H93">
            <v>259</v>
          </cell>
          <cell r="J93">
            <v>93571.38</v>
          </cell>
          <cell r="K93">
            <v>307.2</v>
          </cell>
        </row>
        <row r="94">
          <cell r="A94">
            <v>94685.324999999997</v>
          </cell>
          <cell r="B94">
            <v>259</v>
          </cell>
          <cell r="D94">
            <v>94685.324999999997</v>
          </cell>
          <cell r="E94">
            <v>252</v>
          </cell>
          <cell r="G94">
            <v>94685.324999999997</v>
          </cell>
          <cell r="H94">
            <v>262</v>
          </cell>
          <cell r="J94">
            <v>94685.324999999997</v>
          </cell>
          <cell r="K94">
            <v>310.8</v>
          </cell>
        </row>
        <row r="95">
          <cell r="A95">
            <v>95799.27</v>
          </cell>
          <cell r="B95">
            <v>262</v>
          </cell>
          <cell r="D95">
            <v>95799.27</v>
          </cell>
          <cell r="E95">
            <v>255</v>
          </cell>
          <cell r="G95">
            <v>95799.27</v>
          </cell>
          <cell r="H95">
            <v>265</v>
          </cell>
          <cell r="J95">
            <v>95799.27</v>
          </cell>
          <cell r="K95">
            <v>314.39999999999998</v>
          </cell>
        </row>
        <row r="96">
          <cell r="A96">
            <v>96913.214999999997</v>
          </cell>
          <cell r="B96">
            <v>265</v>
          </cell>
          <cell r="D96">
            <v>96913.214999999997</v>
          </cell>
          <cell r="E96">
            <v>258</v>
          </cell>
          <cell r="G96">
            <v>96913.214999999997</v>
          </cell>
          <cell r="H96">
            <v>268</v>
          </cell>
          <cell r="J96">
            <v>96913.214999999997</v>
          </cell>
          <cell r="K96">
            <v>318</v>
          </cell>
        </row>
        <row r="97">
          <cell r="A97">
            <v>98027.16</v>
          </cell>
          <cell r="B97">
            <v>268</v>
          </cell>
          <cell r="D97">
            <v>98027.16</v>
          </cell>
          <cell r="E97">
            <v>261</v>
          </cell>
          <cell r="G97">
            <v>98027.16</v>
          </cell>
          <cell r="H97">
            <v>271</v>
          </cell>
          <cell r="J97">
            <v>98027.16</v>
          </cell>
          <cell r="K97">
            <v>321.59999999999997</v>
          </cell>
        </row>
        <row r="98">
          <cell r="A98">
            <v>99141.104999999996</v>
          </cell>
          <cell r="B98">
            <v>271</v>
          </cell>
          <cell r="D98">
            <v>99141.104999999996</v>
          </cell>
          <cell r="E98">
            <v>264</v>
          </cell>
          <cell r="G98">
            <v>99141.104999999996</v>
          </cell>
          <cell r="H98">
            <v>274</v>
          </cell>
          <cell r="J98">
            <v>99141.104999999996</v>
          </cell>
          <cell r="K98">
            <v>325.2</v>
          </cell>
        </row>
        <row r="99">
          <cell r="A99">
            <v>100255.05</v>
          </cell>
          <cell r="B99">
            <v>274</v>
          </cell>
          <cell r="D99">
            <v>100255.05</v>
          </cell>
          <cell r="E99">
            <v>267</v>
          </cell>
          <cell r="G99">
            <v>100255.05</v>
          </cell>
          <cell r="H99">
            <v>277</v>
          </cell>
          <cell r="J99">
            <v>100255.05</v>
          </cell>
          <cell r="K99">
            <v>328.8</v>
          </cell>
        </row>
        <row r="100">
          <cell r="A100">
            <v>101368.995</v>
          </cell>
          <cell r="B100">
            <v>277</v>
          </cell>
          <cell r="D100">
            <v>101368.995</v>
          </cell>
          <cell r="E100">
            <v>270</v>
          </cell>
          <cell r="G100">
            <v>101368.995</v>
          </cell>
          <cell r="H100">
            <v>280</v>
          </cell>
          <cell r="J100">
            <v>101368.995</v>
          </cell>
          <cell r="K100">
            <v>332.4</v>
          </cell>
        </row>
        <row r="101">
          <cell r="A101">
            <v>102482.94</v>
          </cell>
          <cell r="B101">
            <v>280</v>
          </cell>
          <cell r="D101">
            <v>102482.94</v>
          </cell>
          <cell r="E101">
            <v>273</v>
          </cell>
          <cell r="G101">
            <v>102482.94</v>
          </cell>
          <cell r="H101">
            <v>283</v>
          </cell>
          <cell r="J101">
            <v>102482.94</v>
          </cell>
          <cell r="K101">
            <v>336</v>
          </cell>
        </row>
        <row r="102">
          <cell r="A102">
            <v>103596.88500000001</v>
          </cell>
          <cell r="B102">
            <v>283</v>
          </cell>
          <cell r="D102">
            <v>103596.88500000001</v>
          </cell>
          <cell r="E102">
            <v>276</v>
          </cell>
          <cell r="G102">
            <v>103596.88500000001</v>
          </cell>
          <cell r="H102">
            <v>286</v>
          </cell>
          <cell r="J102">
            <v>103596.88500000001</v>
          </cell>
          <cell r="K102">
            <v>339.59999999999997</v>
          </cell>
        </row>
        <row r="103">
          <cell r="A103">
            <v>104710.83</v>
          </cell>
          <cell r="B103">
            <v>286</v>
          </cell>
          <cell r="D103">
            <v>104710.83</v>
          </cell>
          <cell r="E103">
            <v>279</v>
          </cell>
          <cell r="G103">
            <v>104710.83</v>
          </cell>
          <cell r="H103">
            <v>289</v>
          </cell>
          <cell r="J103">
            <v>104710.83</v>
          </cell>
          <cell r="K103">
            <v>343.2</v>
          </cell>
        </row>
        <row r="104">
          <cell r="A104">
            <v>105824.77500000001</v>
          </cell>
          <cell r="B104">
            <v>289</v>
          </cell>
          <cell r="D104">
            <v>105824.77500000001</v>
          </cell>
          <cell r="E104">
            <v>282</v>
          </cell>
          <cell r="G104">
            <v>105824.77500000001</v>
          </cell>
          <cell r="H104">
            <v>292</v>
          </cell>
          <cell r="J104">
            <v>105824.77500000001</v>
          </cell>
          <cell r="K104">
            <v>346.8</v>
          </cell>
        </row>
        <row r="105">
          <cell r="A105">
            <v>106938.72</v>
          </cell>
          <cell r="B105">
            <v>292</v>
          </cell>
          <cell r="D105">
            <v>106938.72</v>
          </cell>
          <cell r="E105">
            <v>285</v>
          </cell>
          <cell r="G105">
            <v>106938.72</v>
          </cell>
          <cell r="H105">
            <v>295</v>
          </cell>
          <cell r="J105">
            <v>106938.72</v>
          </cell>
          <cell r="K105">
            <v>350.4</v>
          </cell>
        </row>
        <row r="106">
          <cell r="A106">
            <v>108052.66500000001</v>
          </cell>
          <cell r="B106">
            <v>295</v>
          </cell>
          <cell r="D106">
            <v>108052.66500000001</v>
          </cell>
          <cell r="E106">
            <v>288</v>
          </cell>
          <cell r="G106">
            <v>108052.66500000001</v>
          </cell>
          <cell r="H106">
            <v>298</v>
          </cell>
          <cell r="J106">
            <v>108052.66500000001</v>
          </cell>
          <cell r="K106">
            <v>354</v>
          </cell>
        </row>
        <row r="107">
          <cell r="A107">
            <v>109166.61</v>
          </cell>
          <cell r="B107">
            <v>298</v>
          </cell>
          <cell r="D107">
            <v>109166.61</v>
          </cell>
          <cell r="E107">
            <v>291</v>
          </cell>
          <cell r="G107">
            <v>109166.61</v>
          </cell>
          <cell r="H107">
            <v>301</v>
          </cell>
          <cell r="J107">
            <v>109166.61</v>
          </cell>
          <cell r="K107">
            <v>357.59999999999997</v>
          </cell>
        </row>
        <row r="108">
          <cell r="A108">
            <v>110280.55500000001</v>
          </cell>
          <cell r="B108">
            <v>301</v>
          </cell>
          <cell r="D108">
            <v>110280.55500000001</v>
          </cell>
          <cell r="E108">
            <v>294</v>
          </cell>
          <cell r="G108">
            <v>110280.55500000001</v>
          </cell>
          <cell r="H108">
            <v>304</v>
          </cell>
          <cell r="J108">
            <v>110280.55500000001</v>
          </cell>
          <cell r="K108">
            <v>361.2</v>
          </cell>
        </row>
        <row r="109">
          <cell r="A109">
            <v>111394.5</v>
          </cell>
          <cell r="B109">
            <v>304</v>
          </cell>
          <cell r="D109">
            <v>111394.5</v>
          </cell>
          <cell r="E109">
            <v>297</v>
          </cell>
          <cell r="G109">
            <v>111394.5</v>
          </cell>
          <cell r="H109">
            <v>307</v>
          </cell>
          <cell r="J109">
            <v>111394.5</v>
          </cell>
          <cell r="K109">
            <v>364.8</v>
          </cell>
        </row>
        <row r="110">
          <cell r="A110">
            <v>112508.44500000001</v>
          </cell>
          <cell r="B110">
            <v>307</v>
          </cell>
          <cell r="D110">
            <v>112508.44500000001</v>
          </cell>
          <cell r="E110">
            <v>300</v>
          </cell>
          <cell r="G110">
            <v>112508.44500000001</v>
          </cell>
          <cell r="H110">
            <v>310</v>
          </cell>
          <cell r="J110">
            <v>112508.44500000001</v>
          </cell>
          <cell r="K110">
            <v>368.4</v>
          </cell>
        </row>
        <row r="111">
          <cell r="A111">
            <v>113622.39</v>
          </cell>
          <cell r="B111">
            <v>310</v>
          </cell>
          <cell r="D111">
            <v>113622.39</v>
          </cell>
          <cell r="E111">
            <v>303</v>
          </cell>
          <cell r="G111">
            <v>113622.39</v>
          </cell>
          <cell r="H111">
            <v>313</v>
          </cell>
          <cell r="J111">
            <v>113622.39</v>
          </cell>
          <cell r="K111">
            <v>372</v>
          </cell>
        </row>
        <row r="112">
          <cell r="A112">
            <v>114736.33500000001</v>
          </cell>
          <cell r="B112">
            <v>313</v>
          </cell>
          <cell r="D112">
            <v>114736.33500000001</v>
          </cell>
          <cell r="E112">
            <v>306</v>
          </cell>
          <cell r="G112">
            <v>114736.33500000001</v>
          </cell>
          <cell r="H112">
            <v>316</v>
          </cell>
          <cell r="J112">
            <v>114736.33500000001</v>
          </cell>
          <cell r="K112">
            <v>375.59999999999997</v>
          </cell>
        </row>
        <row r="113">
          <cell r="A113">
            <v>115850.28</v>
          </cell>
          <cell r="B113">
            <v>316</v>
          </cell>
          <cell r="D113">
            <v>115850.28</v>
          </cell>
          <cell r="E113">
            <v>309</v>
          </cell>
          <cell r="G113">
            <v>115850.28</v>
          </cell>
          <cell r="H113">
            <v>319</v>
          </cell>
          <cell r="J113">
            <v>115850.28</v>
          </cell>
          <cell r="K113">
            <v>379.2</v>
          </cell>
        </row>
        <row r="114">
          <cell r="A114">
            <v>116964.22500000001</v>
          </cell>
          <cell r="B114">
            <v>319</v>
          </cell>
          <cell r="D114">
            <v>116964.22500000001</v>
          </cell>
          <cell r="E114">
            <v>312</v>
          </cell>
          <cell r="G114">
            <v>116964.22500000001</v>
          </cell>
          <cell r="H114">
            <v>322</v>
          </cell>
          <cell r="J114">
            <v>116964.22500000001</v>
          </cell>
          <cell r="K114">
            <v>382.8</v>
          </cell>
        </row>
        <row r="115">
          <cell r="A115">
            <v>118078.17</v>
          </cell>
          <cell r="B115">
            <v>322</v>
          </cell>
          <cell r="D115">
            <v>118078.17</v>
          </cell>
          <cell r="E115">
            <v>315</v>
          </cell>
          <cell r="G115">
            <v>118078.17</v>
          </cell>
          <cell r="H115">
            <v>325</v>
          </cell>
          <cell r="J115">
            <v>118078.17</v>
          </cell>
          <cell r="K115">
            <v>386.4</v>
          </cell>
        </row>
        <row r="116">
          <cell r="A116">
            <v>119192.11500000001</v>
          </cell>
          <cell r="B116">
            <v>325</v>
          </cell>
          <cell r="D116">
            <v>119192.11500000001</v>
          </cell>
          <cell r="E116">
            <v>318</v>
          </cell>
          <cell r="G116">
            <v>119192.11500000001</v>
          </cell>
          <cell r="H116">
            <v>328</v>
          </cell>
          <cell r="J116">
            <v>119192.11500000001</v>
          </cell>
          <cell r="K116">
            <v>390</v>
          </cell>
        </row>
        <row r="117">
          <cell r="A117">
            <v>120306.06</v>
          </cell>
          <cell r="B117">
            <v>328</v>
          </cell>
          <cell r="D117">
            <v>120306.06</v>
          </cell>
          <cell r="E117">
            <v>321</v>
          </cell>
          <cell r="G117">
            <v>120306.06</v>
          </cell>
          <cell r="H117">
            <v>331</v>
          </cell>
          <cell r="J117">
            <v>120306.06</v>
          </cell>
          <cell r="K117">
            <v>393.59999999999997</v>
          </cell>
        </row>
        <row r="118">
          <cell r="A118">
            <v>121420.005</v>
          </cell>
          <cell r="B118">
            <v>331</v>
          </cell>
          <cell r="D118">
            <v>121420.005</v>
          </cell>
          <cell r="E118">
            <v>324</v>
          </cell>
          <cell r="G118">
            <v>121420.005</v>
          </cell>
          <cell r="H118">
            <v>334</v>
          </cell>
          <cell r="J118">
            <v>121420.005</v>
          </cell>
          <cell r="K118">
            <v>397.2</v>
          </cell>
        </row>
        <row r="119">
          <cell r="A119">
            <v>122533.95</v>
          </cell>
          <cell r="B119">
            <v>334</v>
          </cell>
          <cell r="D119">
            <v>122533.95</v>
          </cell>
          <cell r="E119">
            <v>327</v>
          </cell>
          <cell r="G119">
            <v>122533.95</v>
          </cell>
          <cell r="H119">
            <v>337</v>
          </cell>
          <cell r="J119">
            <v>122533.95</v>
          </cell>
          <cell r="K119">
            <v>400.8</v>
          </cell>
        </row>
        <row r="120">
          <cell r="A120">
            <v>123647.895</v>
          </cell>
          <cell r="B120">
            <v>337</v>
          </cell>
          <cell r="D120">
            <v>123647.895</v>
          </cell>
          <cell r="E120">
            <v>330</v>
          </cell>
          <cell r="G120">
            <v>123647.895</v>
          </cell>
          <cell r="H120">
            <v>340</v>
          </cell>
          <cell r="J120">
            <v>123647.895</v>
          </cell>
          <cell r="K120">
            <v>404.4</v>
          </cell>
        </row>
        <row r="121">
          <cell r="A121">
            <v>124761.84</v>
          </cell>
          <cell r="B121">
            <v>340</v>
          </cell>
          <cell r="D121">
            <v>124761.84</v>
          </cell>
          <cell r="E121">
            <v>333</v>
          </cell>
          <cell r="G121">
            <v>124761.84</v>
          </cell>
          <cell r="H121">
            <v>343</v>
          </cell>
          <cell r="J121">
            <v>124761.84</v>
          </cell>
          <cell r="K121">
            <v>408</v>
          </cell>
        </row>
        <row r="122">
          <cell r="A122">
            <v>125875.785</v>
          </cell>
          <cell r="B122">
            <v>343</v>
          </cell>
          <cell r="D122">
            <v>125875.785</v>
          </cell>
          <cell r="E122">
            <v>336</v>
          </cell>
          <cell r="G122">
            <v>125875.785</v>
          </cell>
          <cell r="H122">
            <v>346</v>
          </cell>
          <cell r="J122">
            <v>125875.785</v>
          </cell>
          <cell r="K122">
            <v>411.59999999999997</v>
          </cell>
        </row>
        <row r="123">
          <cell r="A123">
            <v>126989.73</v>
          </cell>
          <cell r="B123">
            <v>346</v>
          </cell>
          <cell r="D123">
            <v>126989.73</v>
          </cell>
          <cell r="E123">
            <v>339</v>
          </cell>
          <cell r="G123">
            <v>126989.73</v>
          </cell>
          <cell r="H123">
            <v>349</v>
          </cell>
          <cell r="J123">
            <v>126989.73</v>
          </cell>
          <cell r="K123">
            <v>415.2</v>
          </cell>
        </row>
        <row r="124">
          <cell r="A124">
            <v>128103.675</v>
          </cell>
          <cell r="B124">
            <v>349</v>
          </cell>
          <cell r="D124">
            <v>128103.675</v>
          </cell>
          <cell r="E124">
            <v>342</v>
          </cell>
          <cell r="G124">
            <v>128103.675</v>
          </cell>
          <cell r="H124">
            <v>352</v>
          </cell>
          <cell r="J124">
            <v>128103.675</v>
          </cell>
          <cell r="K124">
            <v>418.8</v>
          </cell>
        </row>
        <row r="125">
          <cell r="A125">
            <v>129217.62</v>
          </cell>
          <cell r="B125">
            <v>352</v>
          </cell>
          <cell r="D125">
            <v>129217.62</v>
          </cell>
          <cell r="E125">
            <v>345</v>
          </cell>
          <cell r="G125">
            <v>129217.62</v>
          </cell>
          <cell r="H125">
            <v>355</v>
          </cell>
          <cell r="J125">
            <v>129217.62</v>
          </cell>
          <cell r="K125">
            <v>422.4</v>
          </cell>
        </row>
        <row r="126">
          <cell r="A126">
            <v>130331.565</v>
          </cell>
          <cell r="B126">
            <v>355</v>
          </cell>
          <cell r="D126">
            <v>130331.565</v>
          </cell>
          <cell r="E126">
            <v>348</v>
          </cell>
          <cell r="G126">
            <v>130331.565</v>
          </cell>
          <cell r="H126">
            <v>358</v>
          </cell>
          <cell r="J126">
            <v>130331.565</v>
          </cell>
          <cell r="K126">
            <v>426</v>
          </cell>
        </row>
        <row r="127">
          <cell r="A127">
            <v>131445.51</v>
          </cell>
          <cell r="B127">
            <v>358</v>
          </cell>
          <cell r="D127">
            <v>131445.51</v>
          </cell>
          <cell r="E127">
            <v>351</v>
          </cell>
          <cell r="G127">
            <v>131445.51</v>
          </cell>
          <cell r="H127">
            <v>361</v>
          </cell>
          <cell r="J127">
            <v>131445.51</v>
          </cell>
          <cell r="K127">
            <v>429.59999999999997</v>
          </cell>
        </row>
        <row r="128">
          <cell r="A128">
            <v>132559.45500000002</v>
          </cell>
          <cell r="B128">
            <v>361</v>
          </cell>
          <cell r="D128">
            <v>132559.45500000002</v>
          </cell>
          <cell r="E128">
            <v>354</v>
          </cell>
          <cell r="G128">
            <v>132559.45500000002</v>
          </cell>
          <cell r="H128">
            <v>364</v>
          </cell>
          <cell r="J128">
            <v>132559.45500000002</v>
          </cell>
          <cell r="K128">
            <v>433.2</v>
          </cell>
        </row>
        <row r="129">
          <cell r="A129">
            <v>133673.4</v>
          </cell>
          <cell r="B129">
            <v>364</v>
          </cell>
          <cell r="D129">
            <v>133673.4</v>
          </cell>
          <cell r="E129">
            <v>357</v>
          </cell>
          <cell r="G129">
            <v>133673.4</v>
          </cell>
          <cell r="H129">
            <v>367</v>
          </cell>
          <cell r="J129">
            <v>133673.4</v>
          </cell>
          <cell r="K129">
            <v>436.8</v>
          </cell>
        </row>
        <row r="130">
          <cell r="A130">
            <v>134787.345</v>
          </cell>
          <cell r="B130">
            <v>367</v>
          </cell>
          <cell r="D130">
            <v>134787.345</v>
          </cell>
          <cell r="E130">
            <v>360</v>
          </cell>
          <cell r="G130">
            <v>134787.345</v>
          </cell>
          <cell r="H130">
            <v>370</v>
          </cell>
          <cell r="J130">
            <v>134787.345</v>
          </cell>
          <cell r="K130">
            <v>440.4</v>
          </cell>
        </row>
        <row r="131">
          <cell r="A131">
            <v>135901.29</v>
          </cell>
          <cell r="B131">
            <v>370</v>
          </cell>
          <cell r="D131">
            <v>135901.29</v>
          </cell>
          <cell r="E131">
            <v>363</v>
          </cell>
          <cell r="G131">
            <v>135901.29</v>
          </cell>
          <cell r="H131">
            <v>373</v>
          </cell>
          <cell r="J131">
            <v>135901.29</v>
          </cell>
          <cell r="K131">
            <v>444</v>
          </cell>
        </row>
        <row r="132">
          <cell r="A132">
            <v>137015.23500000002</v>
          </cell>
          <cell r="B132">
            <v>373</v>
          </cell>
          <cell r="D132">
            <v>137015.23500000002</v>
          </cell>
          <cell r="E132">
            <v>366</v>
          </cell>
          <cell r="G132">
            <v>137015.23500000002</v>
          </cell>
          <cell r="H132">
            <v>376</v>
          </cell>
          <cell r="J132">
            <v>137015.23500000002</v>
          </cell>
          <cell r="K132">
            <v>447.59999999999997</v>
          </cell>
        </row>
        <row r="133">
          <cell r="A133">
            <v>138129.18</v>
          </cell>
          <cell r="B133">
            <v>376</v>
          </cell>
          <cell r="D133">
            <v>138129.18</v>
          </cell>
          <cell r="E133">
            <v>369</v>
          </cell>
          <cell r="G133">
            <v>138129.18</v>
          </cell>
          <cell r="H133">
            <v>379</v>
          </cell>
          <cell r="J133">
            <v>138129.18</v>
          </cell>
          <cell r="K133">
            <v>451.2</v>
          </cell>
        </row>
        <row r="134">
          <cell r="A134">
            <v>139243.125</v>
          </cell>
          <cell r="B134">
            <v>379</v>
          </cell>
          <cell r="D134">
            <v>139243.125</v>
          </cell>
          <cell r="E134">
            <v>372</v>
          </cell>
          <cell r="G134">
            <v>139243.125</v>
          </cell>
          <cell r="H134">
            <v>382</v>
          </cell>
          <cell r="J134">
            <v>139243.125</v>
          </cell>
          <cell r="K134">
            <v>454.8</v>
          </cell>
        </row>
        <row r="135">
          <cell r="A135">
            <v>140357.07</v>
          </cell>
          <cell r="B135">
            <v>382</v>
          </cell>
          <cell r="D135">
            <v>140357.07</v>
          </cell>
          <cell r="E135">
            <v>375</v>
          </cell>
          <cell r="G135">
            <v>140357.07</v>
          </cell>
          <cell r="H135">
            <v>385</v>
          </cell>
          <cell r="J135">
            <v>140357.07</v>
          </cell>
          <cell r="K135">
            <v>458.4</v>
          </cell>
        </row>
        <row r="136">
          <cell r="A136">
            <v>141471.01500000001</v>
          </cell>
          <cell r="B136">
            <v>385</v>
          </cell>
          <cell r="D136">
            <v>141471.01500000001</v>
          </cell>
          <cell r="E136">
            <v>378</v>
          </cell>
          <cell r="G136">
            <v>141471.01500000001</v>
          </cell>
          <cell r="H136">
            <v>388</v>
          </cell>
          <cell r="J136">
            <v>141471.01500000001</v>
          </cell>
          <cell r="K136">
            <v>462</v>
          </cell>
        </row>
        <row r="137">
          <cell r="A137">
            <v>142584.95999999999</v>
          </cell>
          <cell r="B137">
            <v>388</v>
          </cell>
          <cell r="D137">
            <v>142584.95999999999</v>
          </cell>
          <cell r="E137">
            <v>381</v>
          </cell>
          <cell r="G137">
            <v>142584.95999999999</v>
          </cell>
          <cell r="H137">
            <v>391</v>
          </cell>
          <cell r="J137">
            <v>142584.95999999999</v>
          </cell>
          <cell r="K137">
            <v>465.59999999999997</v>
          </cell>
        </row>
        <row r="138">
          <cell r="A138">
            <v>143698.905</v>
          </cell>
          <cell r="B138">
            <v>391</v>
          </cell>
          <cell r="D138">
            <v>143698.905</v>
          </cell>
          <cell r="E138">
            <v>384</v>
          </cell>
          <cell r="G138">
            <v>143698.905</v>
          </cell>
          <cell r="H138">
            <v>394</v>
          </cell>
          <cell r="J138">
            <v>143698.905</v>
          </cell>
          <cell r="K138">
            <v>469.2</v>
          </cell>
        </row>
        <row r="139">
          <cell r="A139">
            <v>144812.85</v>
          </cell>
          <cell r="B139">
            <v>394</v>
          </cell>
          <cell r="D139">
            <v>144812.85</v>
          </cell>
          <cell r="E139">
            <v>387</v>
          </cell>
          <cell r="G139">
            <v>144812.85</v>
          </cell>
          <cell r="H139">
            <v>397</v>
          </cell>
          <cell r="J139">
            <v>144812.85</v>
          </cell>
          <cell r="K139">
            <v>472.79999999999995</v>
          </cell>
        </row>
        <row r="140">
          <cell r="A140">
            <v>145926.79500000001</v>
          </cell>
          <cell r="B140">
            <v>397</v>
          </cell>
          <cell r="D140">
            <v>145926.79500000001</v>
          </cell>
          <cell r="E140">
            <v>390</v>
          </cell>
          <cell r="G140">
            <v>145926.79500000001</v>
          </cell>
          <cell r="H140">
            <v>400</v>
          </cell>
          <cell r="J140">
            <v>145926.79500000001</v>
          </cell>
          <cell r="K140">
            <v>476.4</v>
          </cell>
        </row>
        <row r="141">
          <cell r="A141">
            <v>147040.74</v>
          </cell>
          <cell r="B141">
            <v>400</v>
          </cell>
          <cell r="D141">
            <v>147040.74</v>
          </cell>
          <cell r="E141">
            <v>393</v>
          </cell>
          <cell r="G141">
            <v>147040.74</v>
          </cell>
          <cell r="H141">
            <v>403</v>
          </cell>
          <cell r="J141">
            <v>147040.74</v>
          </cell>
          <cell r="K141">
            <v>480</v>
          </cell>
        </row>
        <row r="142">
          <cell r="A142">
            <v>148154.685</v>
          </cell>
          <cell r="B142">
            <v>403</v>
          </cell>
          <cell r="D142">
            <v>148154.685</v>
          </cell>
          <cell r="E142">
            <v>396</v>
          </cell>
          <cell r="G142">
            <v>148154.685</v>
          </cell>
          <cell r="H142">
            <v>406</v>
          </cell>
          <cell r="J142">
            <v>148154.685</v>
          </cell>
          <cell r="K142">
            <v>483.59999999999997</v>
          </cell>
        </row>
        <row r="143">
          <cell r="A143">
            <v>149268.63</v>
          </cell>
          <cell r="B143">
            <v>406</v>
          </cell>
          <cell r="D143">
            <v>149268.63</v>
          </cell>
          <cell r="E143">
            <v>399</v>
          </cell>
          <cell r="G143">
            <v>149268.63</v>
          </cell>
          <cell r="H143">
            <v>409</v>
          </cell>
          <cell r="J143">
            <v>149268.63</v>
          </cell>
          <cell r="K143">
            <v>487.2</v>
          </cell>
        </row>
        <row r="144">
          <cell r="A144">
            <v>150382.57500000001</v>
          </cell>
          <cell r="B144">
            <v>409</v>
          </cell>
          <cell r="D144">
            <v>150382.57500000001</v>
          </cell>
          <cell r="E144">
            <v>402</v>
          </cell>
          <cell r="G144">
            <v>150382.57500000001</v>
          </cell>
          <cell r="H144">
            <v>412</v>
          </cell>
          <cell r="J144">
            <v>150382.57500000001</v>
          </cell>
          <cell r="K144">
            <v>490.79999999999995</v>
          </cell>
        </row>
        <row r="145">
          <cell r="A145">
            <v>151496.51999999999</v>
          </cell>
          <cell r="B145">
            <v>412</v>
          </cell>
          <cell r="D145">
            <v>151496.51999999999</v>
          </cell>
          <cell r="E145">
            <v>405</v>
          </cell>
          <cell r="G145">
            <v>151496.51999999999</v>
          </cell>
          <cell r="H145">
            <v>415</v>
          </cell>
          <cell r="J145">
            <v>151496.51999999999</v>
          </cell>
          <cell r="K145">
            <v>494.4</v>
          </cell>
        </row>
        <row r="146">
          <cell r="A146">
            <v>152610.465</v>
          </cell>
          <cell r="B146">
            <v>415</v>
          </cell>
          <cell r="D146">
            <v>152610.465</v>
          </cell>
          <cell r="E146">
            <v>408</v>
          </cell>
          <cell r="G146">
            <v>152610.465</v>
          </cell>
          <cell r="H146">
            <v>418</v>
          </cell>
          <cell r="J146">
            <v>152610.465</v>
          </cell>
          <cell r="K146">
            <v>498</v>
          </cell>
        </row>
        <row r="147">
          <cell r="A147">
            <v>153724.41</v>
          </cell>
          <cell r="B147">
            <v>418</v>
          </cell>
          <cell r="D147">
            <v>153724.41</v>
          </cell>
          <cell r="E147">
            <v>411</v>
          </cell>
          <cell r="G147">
            <v>153724.41</v>
          </cell>
          <cell r="H147">
            <v>421</v>
          </cell>
          <cell r="J147">
            <v>153724.41</v>
          </cell>
          <cell r="K147">
            <v>501.59999999999997</v>
          </cell>
        </row>
        <row r="148">
          <cell r="A148">
            <v>154838.35500000001</v>
          </cell>
          <cell r="B148">
            <v>421</v>
          </cell>
          <cell r="D148">
            <v>154838.35500000001</v>
          </cell>
          <cell r="E148">
            <v>414</v>
          </cell>
          <cell r="G148">
            <v>154838.35500000001</v>
          </cell>
          <cell r="H148">
            <v>424</v>
          </cell>
          <cell r="J148">
            <v>154838.35500000001</v>
          </cell>
          <cell r="K148">
            <v>505.2</v>
          </cell>
        </row>
        <row r="149">
          <cell r="A149">
            <v>155952.29999999999</v>
          </cell>
          <cell r="B149">
            <v>424</v>
          </cell>
          <cell r="D149">
            <v>155952.29999999999</v>
          </cell>
          <cell r="E149">
            <v>417</v>
          </cell>
          <cell r="G149">
            <v>155952.29999999999</v>
          </cell>
          <cell r="H149">
            <v>427</v>
          </cell>
          <cell r="J149">
            <v>155952.29999999999</v>
          </cell>
          <cell r="K149">
            <v>508.79999999999995</v>
          </cell>
        </row>
        <row r="150">
          <cell r="A150">
            <v>157066.245</v>
          </cell>
          <cell r="B150">
            <v>427</v>
          </cell>
          <cell r="D150">
            <v>157066.245</v>
          </cell>
          <cell r="E150">
            <v>420</v>
          </cell>
          <cell r="G150">
            <v>157066.245</v>
          </cell>
          <cell r="H150">
            <v>430</v>
          </cell>
          <cell r="J150">
            <v>157066.245</v>
          </cell>
          <cell r="K150">
            <v>512.4</v>
          </cell>
        </row>
        <row r="151">
          <cell r="A151">
            <v>158180.19</v>
          </cell>
          <cell r="B151">
            <v>430</v>
          </cell>
          <cell r="D151">
            <v>158180.19</v>
          </cell>
          <cell r="E151">
            <v>423</v>
          </cell>
          <cell r="G151">
            <v>158180.19</v>
          </cell>
          <cell r="H151">
            <v>433</v>
          </cell>
          <cell r="J151">
            <v>158180.19</v>
          </cell>
          <cell r="K151">
            <v>516</v>
          </cell>
        </row>
        <row r="152">
          <cell r="A152">
            <v>159294.13500000001</v>
          </cell>
          <cell r="B152">
            <v>433</v>
          </cell>
          <cell r="D152">
            <v>159294.13500000001</v>
          </cell>
          <cell r="E152">
            <v>426</v>
          </cell>
          <cell r="G152">
            <v>159294.13500000001</v>
          </cell>
          <cell r="H152">
            <v>436</v>
          </cell>
          <cell r="J152">
            <v>159294.13500000001</v>
          </cell>
          <cell r="K152">
            <v>519.6</v>
          </cell>
        </row>
        <row r="153">
          <cell r="A153">
            <v>160408.07999999999</v>
          </cell>
          <cell r="B153">
            <v>436</v>
          </cell>
          <cell r="D153">
            <v>160408.07999999999</v>
          </cell>
          <cell r="E153">
            <v>429</v>
          </cell>
          <cell r="G153">
            <v>160408.07999999999</v>
          </cell>
          <cell r="H153">
            <v>439</v>
          </cell>
          <cell r="J153">
            <v>160408.07999999999</v>
          </cell>
          <cell r="K153">
            <v>523.19999999999993</v>
          </cell>
        </row>
        <row r="154">
          <cell r="A154">
            <v>161522.02499999999</v>
          </cell>
          <cell r="B154">
            <v>439</v>
          </cell>
          <cell r="D154">
            <v>161522.02499999999</v>
          </cell>
          <cell r="E154">
            <v>432</v>
          </cell>
          <cell r="G154">
            <v>161522.02499999999</v>
          </cell>
          <cell r="H154">
            <v>442</v>
          </cell>
          <cell r="J154">
            <v>161522.02499999999</v>
          </cell>
          <cell r="K154">
            <v>526.79999999999995</v>
          </cell>
        </row>
        <row r="155">
          <cell r="A155">
            <v>162635.97</v>
          </cell>
          <cell r="B155">
            <v>442</v>
          </cell>
          <cell r="D155">
            <v>162635.97</v>
          </cell>
          <cell r="E155">
            <v>435</v>
          </cell>
          <cell r="G155">
            <v>162635.97</v>
          </cell>
          <cell r="H155">
            <v>445</v>
          </cell>
          <cell r="J155">
            <v>162635.97</v>
          </cell>
          <cell r="K155">
            <v>530.4</v>
          </cell>
        </row>
        <row r="156">
          <cell r="A156">
            <v>163749.91500000001</v>
          </cell>
          <cell r="B156">
            <v>445</v>
          </cell>
          <cell r="D156">
            <v>163749.91500000001</v>
          </cell>
          <cell r="E156">
            <v>438</v>
          </cell>
          <cell r="G156">
            <v>163749.91500000001</v>
          </cell>
          <cell r="H156">
            <v>448</v>
          </cell>
          <cell r="J156">
            <v>163749.91500000001</v>
          </cell>
          <cell r="K156">
            <v>534</v>
          </cell>
        </row>
        <row r="157">
          <cell r="A157">
            <v>164863.85999999999</v>
          </cell>
          <cell r="B157">
            <v>448</v>
          </cell>
          <cell r="D157">
            <v>164863.85999999999</v>
          </cell>
          <cell r="E157">
            <v>441</v>
          </cell>
          <cell r="G157">
            <v>164863.85999999999</v>
          </cell>
          <cell r="H157">
            <v>451</v>
          </cell>
          <cell r="J157">
            <v>164863.85999999999</v>
          </cell>
          <cell r="K157">
            <v>537.6</v>
          </cell>
        </row>
        <row r="158">
          <cell r="A158">
            <v>165977.80499999999</v>
          </cell>
          <cell r="B158">
            <v>451</v>
          </cell>
          <cell r="D158">
            <v>165977.80499999999</v>
          </cell>
          <cell r="E158">
            <v>444</v>
          </cell>
          <cell r="G158">
            <v>165977.80499999999</v>
          </cell>
          <cell r="H158">
            <v>454</v>
          </cell>
          <cell r="J158">
            <v>165977.80499999999</v>
          </cell>
          <cell r="K158">
            <v>541.19999999999993</v>
          </cell>
        </row>
        <row r="159">
          <cell r="A159">
            <v>167091.75</v>
          </cell>
          <cell r="B159">
            <v>454</v>
          </cell>
          <cell r="D159">
            <v>167091.75</v>
          </cell>
          <cell r="E159">
            <v>447</v>
          </cell>
          <cell r="G159">
            <v>167091.75</v>
          </cell>
          <cell r="H159">
            <v>457</v>
          </cell>
          <cell r="J159">
            <v>167091.75</v>
          </cell>
          <cell r="K159">
            <v>544.79999999999995</v>
          </cell>
        </row>
        <row r="160">
          <cell r="A160">
            <v>168205.69500000001</v>
          </cell>
          <cell r="B160">
            <v>457</v>
          </cell>
          <cell r="D160">
            <v>168205.69500000001</v>
          </cell>
          <cell r="E160">
            <v>450</v>
          </cell>
          <cell r="G160">
            <v>168205.69500000001</v>
          </cell>
          <cell r="H160">
            <v>460</v>
          </cell>
          <cell r="J160">
            <v>168205.69500000001</v>
          </cell>
          <cell r="K160">
            <v>548.4</v>
          </cell>
        </row>
        <row r="161">
          <cell r="A161">
            <v>169319.64</v>
          </cell>
          <cell r="B161">
            <v>460</v>
          </cell>
          <cell r="D161">
            <v>169319.64</v>
          </cell>
          <cell r="E161">
            <v>453</v>
          </cell>
          <cell r="G161">
            <v>169319.64</v>
          </cell>
          <cell r="H161">
            <v>463</v>
          </cell>
          <cell r="J161">
            <v>169319.64</v>
          </cell>
          <cell r="K161">
            <v>552</v>
          </cell>
        </row>
        <row r="162">
          <cell r="A162">
            <v>170433.58499999999</v>
          </cell>
          <cell r="B162">
            <v>463</v>
          </cell>
          <cell r="D162">
            <v>170433.58499999999</v>
          </cell>
          <cell r="E162">
            <v>456</v>
          </cell>
          <cell r="G162">
            <v>170433.58499999999</v>
          </cell>
          <cell r="H162">
            <v>466</v>
          </cell>
          <cell r="J162">
            <v>170433.58499999999</v>
          </cell>
          <cell r="K162">
            <v>555.6</v>
          </cell>
        </row>
        <row r="163">
          <cell r="A163">
            <v>171547.53</v>
          </cell>
          <cell r="B163">
            <v>466</v>
          </cell>
          <cell r="D163">
            <v>171547.53</v>
          </cell>
          <cell r="E163">
            <v>459</v>
          </cell>
          <cell r="G163">
            <v>171547.53</v>
          </cell>
          <cell r="H163">
            <v>469</v>
          </cell>
          <cell r="J163">
            <v>171547.53</v>
          </cell>
          <cell r="K163">
            <v>559.19999999999993</v>
          </cell>
        </row>
        <row r="164">
          <cell r="A164">
            <v>172661.47500000001</v>
          </cell>
          <cell r="B164">
            <v>469</v>
          </cell>
          <cell r="D164">
            <v>172661.47500000001</v>
          </cell>
          <cell r="E164">
            <v>462</v>
          </cell>
          <cell r="G164">
            <v>172661.47500000001</v>
          </cell>
          <cell r="H164">
            <v>472</v>
          </cell>
          <cell r="J164">
            <v>172661.47500000001</v>
          </cell>
          <cell r="K164">
            <v>562.79999999999995</v>
          </cell>
        </row>
        <row r="165">
          <cell r="A165">
            <v>173775.42</v>
          </cell>
          <cell r="B165">
            <v>472</v>
          </cell>
          <cell r="D165">
            <v>173775.42</v>
          </cell>
          <cell r="E165">
            <v>465</v>
          </cell>
          <cell r="G165">
            <v>173775.42</v>
          </cell>
          <cell r="H165">
            <v>475</v>
          </cell>
          <cell r="J165">
            <v>173775.42</v>
          </cell>
          <cell r="K165">
            <v>566.4</v>
          </cell>
        </row>
        <row r="166">
          <cell r="A166">
            <v>174889.36499999999</v>
          </cell>
          <cell r="B166">
            <v>475</v>
          </cell>
          <cell r="D166">
            <v>174889.36499999999</v>
          </cell>
          <cell r="E166">
            <v>468</v>
          </cell>
          <cell r="G166">
            <v>174889.36499999999</v>
          </cell>
          <cell r="H166">
            <v>478</v>
          </cell>
          <cell r="J166">
            <v>174889.36499999999</v>
          </cell>
          <cell r="K166">
            <v>570</v>
          </cell>
        </row>
        <row r="167">
          <cell r="A167">
            <v>176003.31</v>
          </cell>
          <cell r="B167">
            <v>478</v>
          </cell>
          <cell r="D167">
            <v>176003.31</v>
          </cell>
          <cell r="E167">
            <v>471</v>
          </cell>
          <cell r="G167">
            <v>176003.31</v>
          </cell>
          <cell r="H167">
            <v>481</v>
          </cell>
          <cell r="J167">
            <v>176003.31</v>
          </cell>
          <cell r="K167">
            <v>573.6</v>
          </cell>
        </row>
        <row r="168">
          <cell r="A168">
            <v>177117.255</v>
          </cell>
          <cell r="B168">
            <v>481</v>
          </cell>
          <cell r="D168">
            <v>177117.255</v>
          </cell>
          <cell r="E168">
            <v>474</v>
          </cell>
          <cell r="G168">
            <v>177117.255</v>
          </cell>
          <cell r="H168">
            <v>484</v>
          </cell>
          <cell r="J168">
            <v>177117.255</v>
          </cell>
          <cell r="K168">
            <v>577.19999999999993</v>
          </cell>
        </row>
        <row r="169">
          <cell r="A169">
            <v>178231.2</v>
          </cell>
          <cell r="B169">
            <v>484</v>
          </cell>
          <cell r="D169">
            <v>178231.2</v>
          </cell>
          <cell r="E169">
            <v>477</v>
          </cell>
          <cell r="G169">
            <v>178231.2</v>
          </cell>
          <cell r="H169">
            <v>487</v>
          </cell>
          <cell r="J169">
            <v>178231.2</v>
          </cell>
          <cell r="K169">
            <v>580.79999999999995</v>
          </cell>
        </row>
        <row r="170">
          <cell r="A170">
            <v>179345.14500000002</v>
          </cell>
          <cell r="B170">
            <v>487</v>
          </cell>
          <cell r="D170">
            <v>179345.14500000002</v>
          </cell>
          <cell r="E170">
            <v>480</v>
          </cell>
          <cell r="G170">
            <v>179345.14500000002</v>
          </cell>
          <cell r="H170">
            <v>490</v>
          </cell>
          <cell r="J170">
            <v>179345.14500000002</v>
          </cell>
          <cell r="K170">
            <v>584.4</v>
          </cell>
        </row>
        <row r="171">
          <cell r="A171">
            <v>180459.09</v>
          </cell>
          <cell r="B171">
            <v>490</v>
          </cell>
          <cell r="D171">
            <v>180459.09</v>
          </cell>
          <cell r="E171">
            <v>483</v>
          </cell>
          <cell r="G171">
            <v>180459.09</v>
          </cell>
          <cell r="H171">
            <v>493</v>
          </cell>
          <cell r="J171">
            <v>180459.09</v>
          </cell>
          <cell r="K171">
            <v>588</v>
          </cell>
        </row>
        <row r="172">
          <cell r="A172">
            <v>181573.035</v>
          </cell>
          <cell r="B172">
            <v>493</v>
          </cell>
          <cell r="D172">
            <v>181573.035</v>
          </cell>
          <cell r="E172">
            <v>486</v>
          </cell>
          <cell r="G172">
            <v>181573.035</v>
          </cell>
          <cell r="H172">
            <v>496</v>
          </cell>
          <cell r="J172">
            <v>181573.035</v>
          </cell>
          <cell r="K172">
            <v>591.6</v>
          </cell>
        </row>
        <row r="173">
          <cell r="A173">
            <v>182686.98</v>
          </cell>
          <cell r="B173">
            <v>496</v>
          </cell>
          <cell r="D173">
            <v>182686.98</v>
          </cell>
          <cell r="E173">
            <v>489</v>
          </cell>
          <cell r="G173">
            <v>182686.98</v>
          </cell>
          <cell r="H173">
            <v>499</v>
          </cell>
          <cell r="J173">
            <v>182686.98</v>
          </cell>
          <cell r="K173">
            <v>595.19999999999993</v>
          </cell>
        </row>
        <row r="174">
          <cell r="A174">
            <v>183800.92500000002</v>
          </cell>
          <cell r="B174">
            <v>499</v>
          </cell>
          <cell r="D174">
            <v>183800.92500000002</v>
          </cell>
          <cell r="E174">
            <v>492</v>
          </cell>
          <cell r="G174">
            <v>183800.92500000002</v>
          </cell>
          <cell r="H174">
            <v>502</v>
          </cell>
          <cell r="J174">
            <v>183800.92500000002</v>
          </cell>
          <cell r="K174">
            <v>598.79999999999995</v>
          </cell>
        </row>
        <row r="175">
          <cell r="A175">
            <v>184914.87</v>
          </cell>
          <cell r="B175">
            <v>502</v>
          </cell>
          <cell r="D175">
            <v>184914.87</v>
          </cell>
          <cell r="E175">
            <v>495</v>
          </cell>
          <cell r="G175">
            <v>184914.87</v>
          </cell>
          <cell r="H175">
            <v>505</v>
          </cell>
          <cell r="J175">
            <v>184914.87</v>
          </cell>
          <cell r="K175">
            <v>602.4</v>
          </cell>
        </row>
        <row r="176">
          <cell r="A176">
            <v>186028.815</v>
          </cell>
          <cell r="B176">
            <v>505</v>
          </cell>
          <cell r="D176">
            <v>186028.815</v>
          </cell>
          <cell r="E176">
            <v>498</v>
          </cell>
          <cell r="G176">
            <v>186028.815</v>
          </cell>
          <cell r="H176">
            <v>508</v>
          </cell>
          <cell r="J176">
            <v>186028.815</v>
          </cell>
          <cell r="K176">
            <v>606</v>
          </cell>
        </row>
        <row r="177">
          <cell r="A177">
            <v>187142.76</v>
          </cell>
          <cell r="B177">
            <v>508</v>
          </cell>
          <cell r="D177">
            <v>187142.76</v>
          </cell>
          <cell r="E177">
            <v>501</v>
          </cell>
          <cell r="G177">
            <v>187142.76</v>
          </cell>
          <cell r="H177">
            <v>511</v>
          </cell>
          <cell r="J177">
            <v>187142.76</v>
          </cell>
          <cell r="K177">
            <v>609.6</v>
          </cell>
        </row>
        <row r="178">
          <cell r="A178">
            <v>188256.70500000002</v>
          </cell>
          <cell r="B178">
            <v>511</v>
          </cell>
          <cell r="D178">
            <v>188256.70500000002</v>
          </cell>
          <cell r="E178">
            <v>504</v>
          </cell>
          <cell r="G178">
            <v>188256.70500000002</v>
          </cell>
          <cell r="H178">
            <v>514</v>
          </cell>
          <cell r="J178">
            <v>188256.70500000002</v>
          </cell>
          <cell r="K178">
            <v>613.19999999999993</v>
          </cell>
        </row>
        <row r="179">
          <cell r="A179">
            <v>189370.65</v>
          </cell>
          <cell r="B179">
            <v>514</v>
          </cell>
          <cell r="D179">
            <v>189370.65</v>
          </cell>
          <cell r="E179">
            <v>507</v>
          </cell>
          <cell r="G179">
            <v>189370.65</v>
          </cell>
          <cell r="H179">
            <v>517</v>
          </cell>
          <cell r="J179">
            <v>189370.65</v>
          </cell>
          <cell r="K179">
            <v>616.79999999999995</v>
          </cell>
        </row>
        <row r="180">
          <cell r="A180">
            <v>190484.595</v>
          </cell>
          <cell r="B180">
            <v>517</v>
          </cell>
          <cell r="D180">
            <v>190484.595</v>
          </cell>
          <cell r="E180">
            <v>510</v>
          </cell>
          <cell r="G180">
            <v>190484.595</v>
          </cell>
          <cell r="H180">
            <v>520</v>
          </cell>
          <cell r="J180">
            <v>190484.595</v>
          </cell>
          <cell r="K180">
            <v>620.4</v>
          </cell>
        </row>
        <row r="181">
          <cell r="A181">
            <v>191598.54</v>
          </cell>
          <cell r="B181">
            <v>520</v>
          </cell>
          <cell r="D181">
            <v>191598.54</v>
          </cell>
          <cell r="E181">
            <v>513</v>
          </cell>
          <cell r="G181">
            <v>191598.54</v>
          </cell>
          <cell r="H181">
            <v>523</v>
          </cell>
          <cell r="J181">
            <v>191598.54</v>
          </cell>
          <cell r="K181">
            <v>624</v>
          </cell>
        </row>
        <row r="182">
          <cell r="A182">
            <v>192712.48500000002</v>
          </cell>
          <cell r="B182">
            <v>523</v>
          </cell>
          <cell r="D182">
            <v>192712.48500000002</v>
          </cell>
          <cell r="E182">
            <v>516</v>
          </cell>
          <cell r="G182">
            <v>192712.48500000002</v>
          </cell>
          <cell r="H182">
            <v>526</v>
          </cell>
          <cell r="J182">
            <v>192712.48500000002</v>
          </cell>
          <cell r="K182">
            <v>627.6</v>
          </cell>
        </row>
        <row r="183">
          <cell r="A183">
            <v>193826.43</v>
          </cell>
          <cell r="B183">
            <v>526</v>
          </cell>
          <cell r="D183">
            <v>193826.43</v>
          </cell>
          <cell r="E183">
            <v>519</v>
          </cell>
          <cell r="G183">
            <v>193826.43</v>
          </cell>
          <cell r="H183">
            <v>529</v>
          </cell>
          <cell r="J183">
            <v>193826.43</v>
          </cell>
          <cell r="K183">
            <v>631.19999999999993</v>
          </cell>
        </row>
        <row r="184">
          <cell r="A184">
            <v>194940.375</v>
          </cell>
          <cell r="B184">
            <v>529</v>
          </cell>
          <cell r="D184">
            <v>194940.375</v>
          </cell>
          <cell r="E184">
            <v>522</v>
          </cell>
          <cell r="G184">
            <v>194940.375</v>
          </cell>
          <cell r="H184">
            <v>532</v>
          </cell>
          <cell r="J184">
            <v>194940.375</v>
          </cell>
          <cell r="K184">
            <v>634.79999999999995</v>
          </cell>
        </row>
        <row r="185">
          <cell r="A185">
            <v>196054.32</v>
          </cell>
          <cell r="B185">
            <v>532</v>
          </cell>
          <cell r="D185">
            <v>196054.32</v>
          </cell>
          <cell r="E185">
            <v>525</v>
          </cell>
          <cell r="G185">
            <v>196054.32</v>
          </cell>
          <cell r="H185">
            <v>535</v>
          </cell>
          <cell r="J185">
            <v>196054.32</v>
          </cell>
          <cell r="K185">
            <v>638.4</v>
          </cell>
        </row>
        <row r="186">
          <cell r="A186">
            <v>197168.26500000001</v>
          </cell>
          <cell r="B186">
            <v>535</v>
          </cell>
          <cell r="D186">
            <v>197168.26500000001</v>
          </cell>
          <cell r="E186">
            <v>528</v>
          </cell>
          <cell r="G186">
            <v>197168.26500000001</v>
          </cell>
          <cell r="H186">
            <v>538</v>
          </cell>
          <cell r="J186">
            <v>197168.26500000001</v>
          </cell>
          <cell r="K186">
            <v>642</v>
          </cell>
        </row>
        <row r="187">
          <cell r="A187">
            <v>198282.21</v>
          </cell>
          <cell r="B187">
            <v>538</v>
          </cell>
          <cell r="D187">
            <v>198282.21</v>
          </cell>
          <cell r="E187">
            <v>531</v>
          </cell>
          <cell r="G187">
            <v>198282.21</v>
          </cell>
          <cell r="H187">
            <v>541</v>
          </cell>
          <cell r="J187">
            <v>198282.21</v>
          </cell>
          <cell r="K187">
            <v>645.6</v>
          </cell>
        </row>
        <row r="188">
          <cell r="A188">
            <v>199396.155</v>
          </cell>
          <cell r="B188">
            <v>541</v>
          </cell>
          <cell r="D188">
            <v>199396.155</v>
          </cell>
          <cell r="E188">
            <v>534</v>
          </cell>
          <cell r="G188">
            <v>199396.155</v>
          </cell>
          <cell r="H188">
            <v>544</v>
          </cell>
          <cell r="J188">
            <v>199396.155</v>
          </cell>
          <cell r="K188">
            <v>649.19999999999993</v>
          </cell>
        </row>
        <row r="189">
          <cell r="A189">
            <v>200510.1</v>
          </cell>
          <cell r="B189">
            <v>544</v>
          </cell>
          <cell r="D189">
            <v>200510.1</v>
          </cell>
          <cell r="E189">
            <v>537</v>
          </cell>
          <cell r="G189">
            <v>200510.1</v>
          </cell>
          <cell r="H189">
            <v>547</v>
          </cell>
          <cell r="J189">
            <v>200510.1</v>
          </cell>
          <cell r="K189">
            <v>652.79999999999995</v>
          </cell>
        </row>
        <row r="190">
          <cell r="A190">
            <v>201624.04500000001</v>
          </cell>
          <cell r="B190">
            <v>547</v>
          </cell>
          <cell r="D190">
            <v>201624.04500000001</v>
          </cell>
          <cell r="E190">
            <v>540</v>
          </cell>
          <cell r="G190">
            <v>201624.04500000001</v>
          </cell>
          <cell r="H190">
            <v>550</v>
          </cell>
          <cell r="J190">
            <v>201624.04500000001</v>
          </cell>
          <cell r="K190">
            <v>656.4</v>
          </cell>
        </row>
        <row r="191">
          <cell r="A191">
            <v>202737.99</v>
          </cell>
          <cell r="B191">
            <v>550</v>
          </cell>
          <cell r="D191">
            <v>202737.99</v>
          </cell>
          <cell r="E191">
            <v>543</v>
          </cell>
          <cell r="G191">
            <v>202737.99</v>
          </cell>
          <cell r="H191">
            <v>553</v>
          </cell>
          <cell r="J191">
            <v>202737.99</v>
          </cell>
          <cell r="K191">
            <v>660</v>
          </cell>
        </row>
        <row r="192">
          <cell r="A192">
            <v>203851.935</v>
          </cell>
          <cell r="B192">
            <v>553</v>
          </cell>
          <cell r="D192">
            <v>203851.935</v>
          </cell>
          <cell r="E192">
            <v>546</v>
          </cell>
          <cell r="G192">
            <v>203851.935</v>
          </cell>
          <cell r="H192">
            <v>556</v>
          </cell>
          <cell r="J192">
            <v>203851.935</v>
          </cell>
          <cell r="K192">
            <v>663.6</v>
          </cell>
        </row>
        <row r="193">
          <cell r="A193">
            <v>204965.88</v>
          </cell>
          <cell r="B193">
            <v>556</v>
          </cell>
          <cell r="D193">
            <v>204965.88</v>
          </cell>
          <cell r="E193">
            <v>549</v>
          </cell>
          <cell r="G193">
            <v>204965.88</v>
          </cell>
          <cell r="H193">
            <v>559</v>
          </cell>
          <cell r="J193">
            <v>204965.88</v>
          </cell>
          <cell r="K193">
            <v>667.19999999999993</v>
          </cell>
        </row>
        <row r="194">
          <cell r="A194">
            <v>206079.82500000001</v>
          </cell>
          <cell r="B194">
            <v>559</v>
          </cell>
          <cell r="D194">
            <v>206079.82500000001</v>
          </cell>
          <cell r="E194">
            <v>552</v>
          </cell>
          <cell r="G194">
            <v>206079.82500000001</v>
          </cell>
          <cell r="H194">
            <v>562</v>
          </cell>
          <cell r="J194">
            <v>206079.82500000001</v>
          </cell>
          <cell r="K194">
            <v>670.8</v>
          </cell>
        </row>
        <row r="195">
          <cell r="A195">
            <v>207193.77</v>
          </cell>
          <cell r="B195">
            <v>562</v>
          </cell>
          <cell r="D195">
            <v>207193.77</v>
          </cell>
          <cell r="E195">
            <v>555</v>
          </cell>
          <cell r="G195">
            <v>207193.77</v>
          </cell>
          <cell r="H195">
            <v>565</v>
          </cell>
          <cell r="J195">
            <v>207193.77</v>
          </cell>
          <cell r="K195">
            <v>674.4</v>
          </cell>
        </row>
        <row r="196">
          <cell r="A196">
            <v>208307.715</v>
          </cell>
          <cell r="B196">
            <v>565</v>
          </cell>
          <cell r="D196">
            <v>208307.715</v>
          </cell>
          <cell r="E196">
            <v>558</v>
          </cell>
          <cell r="G196">
            <v>208307.715</v>
          </cell>
          <cell r="H196">
            <v>568</v>
          </cell>
          <cell r="J196">
            <v>208307.715</v>
          </cell>
          <cell r="K196">
            <v>678</v>
          </cell>
        </row>
        <row r="197">
          <cell r="A197">
            <v>209421.66</v>
          </cell>
          <cell r="B197">
            <v>568</v>
          </cell>
          <cell r="D197">
            <v>209421.66</v>
          </cell>
          <cell r="E197">
            <v>561</v>
          </cell>
          <cell r="G197">
            <v>209421.66</v>
          </cell>
          <cell r="H197">
            <v>571</v>
          </cell>
          <cell r="J197">
            <v>209421.66</v>
          </cell>
          <cell r="K197">
            <v>681.6</v>
          </cell>
        </row>
        <row r="198">
          <cell r="A198">
            <v>210535.60500000001</v>
          </cell>
          <cell r="B198">
            <v>571</v>
          </cell>
          <cell r="D198">
            <v>210535.60500000001</v>
          </cell>
          <cell r="E198">
            <v>564</v>
          </cell>
          <cell r="G198">
            <v>210535.60500000001</v>
          </cell>
          <cell r="H198">
            <v>574</v>
          </cell>
          <cell r="J198">
            <v>210535.60500000001</v>
          </cell>
          <cell r="K198">
            <v>685.19999999999993</v>
          </cell>
        </row>
        <row r="199">
          <cell r="A199">
            <v>211649.55</v>
          </cell>
          <cell r="B199">
            <v>574</v>
          </cell>
          <cell r="D199">
            <v>211649.55</v>
          </cell>
          <cell r="E199">
            <v>567</v>
          </cell>
          <cell r="G199">
            <v>211649.55</v>
          </cell>
          <cell r="H199">
            <v>577</v>
          </cell>
          <cell r="J199">
            <v>211649.55</v>
          </cell>
          <cell r="K199">
            <v>688.8</v>
          </cell>
        </row>
        <row r="200">
          <cell r="A200">
            <v>212763.495</v>
          </cell>
          <cell r="B200">
            <v>577</v>
          </cell>
          <cell r="D200">
            <v>212763.495</v>
          </cell>
          <cell r="E200">
            <v>570</v>
          </cell>
          <cell r="G200">
            <v>212763.495</v>
          </cell>
          <cell r="H200">
            <v>580</v>
          </cell>
          <cell r="J200">
            <v>212763.495</v>
          </cell>
          <cell r="K200">
            <v>692.4</v>
          </cell>
        </row>
        <row r="201">
          <cell r="A201">
            <v>213877.44</v>
          </cell>
          <cell r="B201">
            <v>580</v>
          </cell>
          <cell r="D201">
            <v>213877.44</v>
          </cell>
          <cell r="E201">
            <v>573</v>
          </cell>
          <cell r="G201">
            <v>213877.44</v>
          </cell>
          <cell r="H201">
            <v>583</v>
          </cell>
          <cell r="J201">
            <v>213877.44</v>
          </cell>
          <cell r="K201">
            <v>696</v>
          </cell>
        </row>
        <row r="202">
          <cell r="A202">
            <v>214991.38500000001</v>
          </cell>
          <cell r="B202">
            <v>583</v>
          </cell>
          <cell r="D202">
            <v>214991.38500000001</v>
          </cell>
          <cell r="E202">
            <v>576</v>
          </cell>
          <cell r="G202">
            <v>214991.38500000001</v>
          </cell>
          <cell r="H202">
            <v>586</v>
          </cell>
          <cell r="J202">
            <v>214991.38500000001</v>
          </cell>
          <cell r="K202">
            <v>699.6</v>
          </cell>
        </row>
        <row r="203">
          <cell r="A203">
            <v>216105.33</v>
          </cell>
          <cell r="B203">
            <v>586</v>
          </cell>
          <cell r="D203">
            <v>216105.33</v>
          </cell>
          <cell r="E203">
            <v>579</v>
          </cell>
          <cell r="G203">
            <v>216105.33</v>
          </cell>
          <cell r="H203">
            <v>589</v>
          </cell>
          <cell r="J203">
            <v>216105.33</v>
          </cell>
          <cell r="K203">
            <v>703.19999999999993</v>
          </cell>
        </row>
        <row r="204">
          <cell r="A204">
            <v>217219.27499999999</v>
          </cell>
          <cell r="B204">
            <v>589</v>
          </cell>
          <cell r="D204">
            <v>217219.27499999999</v>
          </cell>
          <cell r="E204">
            <v>582</v>
          </cell>
          <cell r="G204">
            <v>217219.27499999999</v>
          </cell>
          <cell r="H204">
            <v>592</v>
          </cell>
          <cell r="J204">
            <v>217219.27499999999</v>
          </cell>
          <cell r="K204">
            <v>706.8</v>
          </cell>
        </row>
        <row r="205">
          <cell r="A205">
            <v>218333.22</v>
          </cell>
          <cell r="B205">
            <v>592</v>
          </cell>
          <cell r="D205">
            <v>218333.22</v>
          </cell>
          <cell r="E205">
            <v>585</v>
          </cell>
          <cell r="G205">
            <v>218333.22</v>
          </cell>
          <cell r="H205">
            <v>595</v>
          </cell>
          <cell r="J205">
            <v>218333.22</v>
          </cell>
          <cell r="K205">
            <v>710.4</v>
          </cell>
        </row>
        <row r="206">
          <cell r="A206">
            <v>219447.16500000001</v>
          </cell>
          <cell r="B206">
            <v>595</v>
          </cell>
          <cell r="D206">
            <v>219447.16500000001</v>
          </cell>
          <cell r="E206">
            <v>588</v>
          </cell>
          <cell r="G206">
            <v>219447.16500000001</v>
          </cell>
          <cell r="H206">
            <v>598</v>
          </cell>
          <cell r="J206">
            <v>219447.16500000001</v>
          </cell>
          <cell r="K206">
            <v>714</v>
          </cell>
        </row>
        <row r="207">
          <cell r="A207">
            <v>220561.11</v>
          </cell>
          <cell r="B207">
            <v>598</v>
          </cell>
          <cell r="D207">
            <v>220561.11</v>
          </cell>
          <cell r="E207">
            <v>591</v>
          </cell>
          <cell r="G207">
            <v>220561.11</v>
          </cell>
          <cell r="H207">
            <v>601</v>
          </cell>
          <cell r="J207">
            <v>220561.11</v>
          </cell>
          <cell r="K207">
            <v>717.6</v>
          </cell>
        </row>
        <row r="208">
          <cell r="A208">
            <v>221675.05499999999</v>
          </cell>
          <cell r="B208">
            <v>601</v>
          </cell>
          <cell r="D208">
            <v>221675.05499999999</v>
          </cell>
          <cell r="E208">
            <v>594</v>
          </cell>
          <cell r="G208">
            <v>221675.05499999999</v>
          </cell>
          <cell r="H208">
            <v>604</v>
          </cell>
          <cell r="J208">
            <v>221675.05499999999</v>
          </cell>
          <cell r="K208">
            <v>721.19999999999993</v>
          </cell>
        </row>
        <row r="209">
          <cell r="A209">
            <v>222789</v>
          </cell>
          <cell r="B209">
            <v>604</v>
          </cell>
          <cell r="D209">
            <v>222789</v>
          </cell>
          <cell r="E209">
            <v>597</v>
          </cell>
          <cell r="G209">
            <v>222789</v>
          </cell>
          <cell r="H209">
            <v>607</v>
          </cell>
          <cell r="J209">
            <v>222789</v>
          </cell>
          <cell r="K209">
            <v>724.8</v>
          </cell>
        </row>
        <row r="210">
          <cell r="A210">
            <v>223902.94500000001</v>
          </cell>
          <cell r="B210">
            <v>607</v>
          </cell>
          <cell r="D210">
            <v>223902.94500000001</v>
          </cell>
          <cell r="E210">
            <v>600</v>
          </cell>
          <cell r="G210">
            <v>223902.94500000001</v>
          </cell>
          <cell r="H210">
            <v>610</v>
          </cell>
          <cell r="J210">
            <v>223902.94500000001</v>
          </cell>
          <cell r="K210">
            <v>728.4</v>
          </cell>
        </row>
        <row r="211">
          <cell r="A211">
            <v>225016.89</v>
          </cell>
          <cell r="B211">
            <v>610</v>
          </cell>
          <cell r="D211">
            <v>225016.89</v>
          </cell>
          <cell r="E211">
            <v>603</v>
          </cell>
          <cell r="G211">
            <v>225016.89</v>
          </cell>
          <cell r="H211">
            <v>613</v>
          </cell>
          <cell r="J211">
            <v>225016.89</v>
          </cell>
          <cell r="K211">
            <v>732</v>
          </cell>
        </row>
        <row r="212">
          <cell r="A212">
            <v>226130.83499999999</v>
          </cell>
          <cell r="B212">
            <v>613</v>
          </cell>
          <cell r="D212">
            <v>226130.83499999999</v>
          </cell>
          <cell r="E212">
            <v>606</v>
          </cell>
          <cell r="G212">
            <v>226130.83499999999</v>
          </cell>
          <cell r="H212">
            <v>616</v>
          </cell>
          <cell r="J212">
            <v>226130.83499999999</v>
          </cell>
          <cell r="K212">
            <v>735.6</v>
          </cell>
        </row>
        <row r="213">
          <cell r="A213">
            <v>227244.78</v>
          </cell>
          <cell r="B213">
            <v>616</v>
          </cell>
          <cell r="D213">
            <v>227244.78</v>
          </cell>
          <cell r="E213">
            <v>609</v>
          </cell>
          <cell r="G213">
            <v>227244.78</v>
          </cell>
          <cell r="H213">
            <v>619</v>
          </cell>
          <cell r="J213">
            <v>227244.78</v>
          </cell>
          <cell r="K213">
            <v>739.19999999999993</v>
          </cell>
        </row>
        <row r="214">
          <cell r="A214">
            <v>228358.72500000001</v>
          </cell>
          <cell r="B214">
            <v>619</v>
          </cell>
          <cell r="D214">
            <v>228358.72500000001</v>
          </cell>
          <cell r="E214">
            <v>612</v>
          </cell>
          <cell r="G214">
            <v>228358.72500000001</v>
          </cell>
          <cell r="H214">
            <v>622</v>
          </cell>
          <cell r="J214">
            <v>228358.72500000001</v>
          </cell>
          <cell r="K214">
            <v>742.8</v>
          </cell>
        </row>
        <row r="215">
          <cell r="A215">
            <v>229472.67</v>
          </cell>
          <cell r="B215">
            <v>622</v>
          </cell>
          <cell r="D215">
            <v>229472.67</v>
          </cell>
          <cell r="E215">
            <v>615</v>
          </cell>
          <cell r="G215">
            <v>229472.67</v>
          </cell>
          <cell r="H215">
            <v>625</v>
          </cell>
          <cell r="J215">
            <v>229472.67</v>
          </cell>
          <cell r="K215">
            <v>746.4</v>
          </cell>
        </row>
        <row r="216">
          <cell r="A216">
            <v>230586.61500000002</v>
          </cell>
          <cell r="B216">
            <v>625</v>
          </cell>
          <cell r="D216">
            <v>230586.61500000002</v>
          </cell>
          <cell r="E216">
            <v>618</v>
          </cell>
          <cell r="G216">
            <v>230586.61500000002</v>
          </cell>
          <cell r="H216">
            <v>628</v>
          </cell>
          <cell r="J216">
            <v>230586.61500000002</v>
          </cell>
          <cell r="K216">
            <v>750</v>
          </cell>
        </row>
        <row r="217">
          <cell r="A217">
            <v>231700.56</v>
          </cell>
          <cell r="B217">
            <v>628</v>
          </cell>
          <cell r="D217">
            <v>231700.56</v>
          </cell>
          <cell r="E217">
            <v>621</v>
          </cell>
          <cell r="G217">
            <v>231700.56</v>
          </cell>
          <cell r="H217">
            <v>631</v>
          </cell>
          <cell r="J217">
            <v>231700.56</v>
          </cell>
          <cell r="K217">
            <v>753.6</v>
          </cell>
        </row>
        <row r="218">
          <cell r="A218">
            <v>232814.505</v>
          </cell>
          <cell r="B218">
            <v>631</v>
          </cell>
          <cell r="D218">
            <v>232814.505</v>
          </cell>
          <cell r="E218">
            <v>624</v>
          </cell>
          <cell r="G218">
            <v>232814.505</v>
          </cell>
          <cell r="H218">
            <v>634</v>
          </cell>
          <cell r="J218">
            <v>232814.505</v>
          </cell>
          <cell r="K218">
            <v>757.19999999999993</v>
          </cell>
        </row>
        <row r="219">
          <cell r="A219">
            <v>233928.45</v>
          </cell>
          <cell r="B219">
            <v>634</v>
          </cell>
          <cell r="D219">
            <v>233928.45</v>
          </cell>
          <cell r="E219">
            <v>627</v>
          </cell>
          <cell r="G219">
            <v>233928.45</v>
          </cell>
          <cell r="H219">
            <v>637</v>
          </cell>
          <cell r="J219">
            <v>233928.45</v>
          </cell>
          <cell r="K219">
            <v>760.8</v>
          </cell>
        </row>
        <row r="220">
          <cell r="A220">
            <v>235042.39500000002</v>
          </cell>
          <cell r="B220">
            <v>637</v>
          </cell>
          <cell r="D220">
            <v>235042.39500000002</v>
          </cell>
          <cell r="E220">
            <v>630</v>
          </cell>
          <cell r="G220">
            <v>235042.39500000002</v>
          </cell>
          <cell r="H220">
            <v>640</v>
          </cell>
          <cell r="J220">
            <v>235042.39500000002</v>
          </cell>
          <cell r="K220">
            <v>764.4</v>
          </cell>
        </row>
        <row r="221">
          <cell r="A221">
            <v>236156.34</v>
          </cell>
          <cell r="B221">
            <v>640</v>
          </cell>
          <cell r="D221">
            <v>236156.34</v>
          </cell>
          <cell r="E221">
            <v>633</v>
          </cell>
          <cell r="G221">
            <v>236156.34</v>
          </cell>
          <cell r="H221">
            <v>643</v>
          </cell>
          <cell r="J221">
            <v>236156.34</v>
          </cell>
          <cell r="K221">
            <v>768</v>
          </cell>
        </row>
        <row r="222">
          <cell r="A222">
            <v>237270.285</v>
          </cell>
          <cell r="B222">
            <v>643</v>
          </cell>
          <cell r="D222">
            <v>237270.285</v>
          </cell>
          <cell r="E222">
            <v>636</v>
          </cell>
          <cell r="G222">
            <v>237270.285</v>
          </cell>
          <cell r="H222">
            <v>646</v>
          </cell>
          <cell r="J222">
            <v>237270.285</v>
          </cell>
          <cell r="K222">
            <v>771.6</v>
          </cell>
        </row>
        <row r="223">
          <cell r="A223">
            <v>238384.23</v>
          </cell>
          <cell r="B223">
            <v>646</v>
          </cell>
          <cell r="D223">
            <v>238384.23</v>
          </cell>
          <cell r="E223">
            <v>639</v>
          </cell>
          <cell r="G223">
            <v>238384.23</v>
          </cell>
          <cell r="H223">
            <v>649</v>
          </cell>
          <cell r="J223">
            <v>238384.23</v>
          </cell>
          <cell r="K223">
            <v>775.19999999999993</v>
          </cell>
        </row>
        <row r="224">
          <cell r="A224">
            <v>239498.17500000002</v>
          </cell>
          <cell r="B224">
            <v>649</v>
          </cell>
          <cell r="D224">
            <v>239498.17500000002</v>
          </cell>
          <cell r="E224">
            <v>642</v>
          </cell>
          <cell r="G224">
            <v>239498.17500000002</v>
          </cell>
          <cell r="H224">
            <v>652</v>
          </cell>
          <cell r="J224">
            <v>239498.17500000002</v>
          </cell>
          <cell r="K224">
            <v>778.8</v>
          </cell>
        </row>
        <row r="225">
          <cell r="A225">
            <v>240612.12</v>
          </cell>
          <cell r="B225">
            <v>652</v>
          </cell>
          <cell r="D225">
            <v>240612.12</v>
          </cell>
          <cell r="E225">
            <v>645</v>
          </cell>
          <cell r="G225">
            <v>240612.12</v>
          </cell>
          <cell r="H225">
            <v>655</v>
          </cell>
          <cell r="J225">
            <v>240612.12</v>
          </cell>
          <cell r="K225">
            <v>782.4</v>
          </cell>
        </row>
        <row r="226">
          <cell r="A226">
            <v>241726.065</v>
          </cell>
          <cell r="B226">
            <v>655</v>
          </cell>
          <cell r="D226">
            <v>241726.065</v>
          </cell>
          <cell r="E226">
            <v>648</v>
          </cell>
          <cell r="G226">
            <v>241726.065</v>
          </cell>
          <cell r="H226">
            <v>658</v>
          </cell>
          <cell r="J226">
            <v>241726.065</v>
          </cell>
          <cell r="K226">
            <v>786</v>
          </cell>
        </row>
        <row r="227">
          <cell r="A227">
            <v>242840.01</v>
          </cell>
          <cell r="B227">
            <v>658</v>
          </cell>
          <cell r="D227">
            <v>242840.01</v>
          </cell>
          <cell r="E227">
            <v>651</v>
          </cell>
          <cell r="G227">
            <v>242840.01</v>
          </cell>
          <cell r="H227">
            <v>661</v>
          </cell>
          <cell r="J227">
            <v>242840.01</v>
          </cell>
          <cell r="K227">
            <v>789.6</v>
          </cell>
        </row>
        <row r="228">
          <cell r="A228">
            <v>243953.95500000002</v>
          </cell>
          <cell r="B228">
            <v>661</v>
          </cell>
          <cell r="D228">
            <v>243953.95500000002</v>
          </cell>
          <cell r="E228">
            <v>654</v>
          </cell>
          <cell r="G228">
            <v>243953.95500000002</v>
          </cell>
          <cell r="H228">
            <v>664</v>
          </cell>
          <cell r="J228">
            <v>243953.95500000002</v>
          </cell>
          <cell r="K228">
            <v>793.19999999999993</v>
          </cell>
        </row>
        <row r="229">
          <cell r="A229">
            <v>245067.9</v>
          </cell>
          <cell r="B229">
            <v>664</v>
          </cell>
          <cell r="D229">
            <v>245067.9</v>
          </cell>
          <cell r="E229">
            <v>657</v>
          </cell>
          <cell r="G229">
            <v>245067.9</v>
          </cell>
          <cell r="H229">
            <v>667</v>
          </cell>
          <cell r="J229">
            <v>245067.9</v>
          </cell>
          <cell r="K229">
            <v>796.8</v>
          </cell>
        </row>
        <row r="230">
          <cell r="A230">
            <v>246181.845</v>
          </cell>
          <cell r="B230">
            <v>667</v>
          </cell>
          <cell r="D230">
            <v>246181.845</v>
          </cell>
          <cell r="E230">
            <v>660</v>
          </cell>
          <cell r="G230">
            <v>246181.845</v>
          </cell>
          <cell r="H230">
            <v>670</v>
          </cell>
          <cell r="J230">
            <v>246181.845</v>
          </cell>
          <cell r="K230">
            <v>800.4</v>
          </cell>
        </row>
        <row r="231">
          <cell r="A231">
            <v>247295.79</v>
          </cell>
          <cell r="B231">
            <v>670</v>
          </cell>
          <cell r="D231">
            <v>247295.79</v>
          </cell>
          <cell r="E231">
            <v>663</v>
          </cell>
          <cell r="G231">
            <v>247295.79</v>
          </cell>
          <cell r="H231">
            <v>673</v>
          </cell>
          <cell r="J231">
            <v>247295.79</v>
          </cell>
          <cell r="K231">
            <v>804</v>
          </cell>
        </row>
        <row r="232">
          <cell r="A232">
            <v>248409.73500000002</v>
          </cell>
          <cell r="B232">
            <v>673</v>
          </cell>
          <cell r="D232">
            <v>248409.73500000002</v>
          </cell>
          <cell r="E232">
            <v>666</v>
          </cell>
          <cell r="G232">
            <v>248409.73500000002</v>
          </cell>
          <cell r="H232">
            <v>676</v>
          </cell>
          <cell r="J232">
            <v>248409.73500000002</v>
          </cell>
          <cell r="K232">
            <v>807.6</v>
          </cell>
        </row>
        <row r="233">
          <cell r="A233">
            <v>249523.68</v>
          </cell>
          <cell r="B233">
            <v>676</v>
          </cell>
          <cell r="D233">
            <v>249523.68</v>
          </cell>
          <cell r="E233">
            <v>669</v>
          </cell>
          <cell r="G233">
            <v>249523.68</v>
          </cell>
          <cell r="H233">
            <v>679</v>
          </cell>
          <cell r="J233">
            <v>249523.68</v>
          </cell>
          <cell r="K233">
            <v>811.19999999999993</v>
          </cell>
        </row>
        <row r="234">
          <cell r="A234">
            <v>250637.625</v>
          </cell>
          <cell r="B234">
            <v>679</v>
          </cell>
          <cell r="D234">
            <v>250637.625</v>
          </cell>
          <cell r="E234">
            <v>672</v>
          </cell>
          <cell r="G234">
            <v>250637.625</v>
          </cell>
          <cell r="H234">
            <v>682</v>
          </cell>
          <cell r="J234">
            <v>250637.625</v>
          </cell>
          <cell r="K234">
            <v>814.8</v>
          </cell>
        </row>
        <row r="235">
          <cell r="A235">
            <v>251751.57</v>
          </cell>
          <cell r="B235">
            <v>682</v>
          </cell>
          <cell r="D235">
            <v>251751.57</v>
          </cell>
          <cell r="E235">
            <v>675</v>
          </cell>
          <cell r="G235">
            <v>251751.57</v>
          </cell>
          <cell r="H235">
            <v>685</v>
          </cell>
          <cell r="J235">
            <v>251751.57</v>
          </cell>
          <cell r="K235">
            <v>818.4</v>
          </cell>
        </row>
        <row r="236">
          <cell r="A236">
            <v>252865.51500000001</v>
          </cell>
          <cell r="B236">
            <v>685</v>
          </cell>
          <cell r="D236">
            <v>252865.51500000001</v>
          </cell>
          <cell r="E236">
            <v>678</v>
          </cell>
          <cell r="G236">
            <v>252865.51500000001</v>
          </cell>
          <cell r="H236">
            <v>688</v>
          </cell>
          <cell r="J236">
            <v>252865.51500000001</v>
          </cell>
          <cell r="K236">
            <v>822</v>
          </cell>
        </row>
        <row r="237">
          <cell r="A237">
            <v>253979.46</v>
          </cell>
          <cell r="B237">
            <v>688</v>
          </cell>
          <cell r="D237">
            <v>253979.46</v>
          </cell>
          <cell r="E237">
            <v>681</v>
          </cell>
          <cell r="G237">
            <v>253979.46</v>
          </cell>
          <cell r="H237">
            <v>691</v>
          </cell>
          <cell r="J237">
            <v>253979.46</v>
          </cell>
          <cell r="K237">
            <v>825.6</v>
          </cell>
        </row>
        <row r="238">
          <cell r="A238">
            <v>255093.405</v>
          </cell>
          <cell r="B238">
            <v>691</v>
          </cell>
          <cell r="D238">
            <v>255093.405</v>
          </cell>
          <cell r="E238">
            <v>684</v>
          </cell>
          <cell r="G238">
            <v>255093.405</v>
          </cell>
          <cell r="H238">
            <v>694</v>
          </cell>
          <cell r="J238">
            <v>255093.405</v>
          </cell>
          <cell r="K238">
            <v>829.19999999999993</v>
          </cell>
        </row>
        <row r="239">
          <cell r="A239">
            <v>256207.35</v>
          </cell>
          <cell r="B239">
            <v>694</v>
          </cell>
          <cell r="D239">
            <v>256207.35</v>
          </cell>
          <cell r="E239">
            <v>687</v>
          </cell>
          <cell r="G239">
            <v>256207.35</v>
          </cell>
          <cell r="H239">
            <v>697</v>
          </cell>
          <cell r="J239">
            <v>256207.35</v>
          </cell>
          <cell r="K239">
            <v>832.8</v>
          </cell>
        </row>
        <row r="240">
          <cell r="A240">
            <v>257321.29500000001</v>
          </cell>
          <cell r="B240">
            <v>697</v>
          </cell>
          <cell r="D240">
            <v>257321.29500000001</v>
          </cell>
          <cell r="E240">
            <v>690</v>
          </cell>
          <cell r="G240">
            <v>257321.29500000001</v>
          </cell>
          <cell r="H240">
            <v>700</v>
          </cell>
          <cell r="J240">
            <v>257321.29500000001</v>
          </cell>
          <cell r="K240">
            <v>836.4</v>
          </cell>
        </row>
        <row r="241">
          <cell r="A241">
            <v>258435.24</v>
          </cell>
          <cell r="B241">
            <v>700</v>
          </cell>
          <cell r="D241">
            <v>258435.24</v>
          </cell>
          <cell r="E241">
            <v>693</v>
          </cell>
          <cell r="G241">
            <v>258435.24</v>
          </cell>
          <cell r="H241">
            <v>703</v>
          </cell>
          <cell r="J241">
            <v>258435.24</v>
          </cell>
          <cell r="K241">
            <v>840</v>
          </cell>
        </row>
        <row r="242">
          <cell r="A242">
            <v>259549.185</v>
          </cell>
          <cell r="B242">
            <v>703</v>
          </cell>
          <cell r="D242">
            <v>259549.185</v>
          </cell>
          <cell r="E242">
            <v>696</v>
          </cell>
          <cell r="G242">
            <v>259549.185</v>
          </cell>
          <cell r="H242">
            <v>706</v>
          </cell>
          <cell r="J242">
            <v>259549.185</v>
          </cell>
          <cell r="K242">
            <v>843.6</v>
          </cell>
        </row>
        <row r="243">
          <cell r="A243">
            <v>260663.13</v>
          </cell>
          <cell r="B243">
            <v>706</v>
          </cell>
          <cell r="D243">
            <v>260663.13</v>
          </cell>
          <cell r="E243">
            <v>699</v>
          </cell>
          <cell r="G243">
            <v>260663.13</v>
          </cell>
          <cell r="H243">
            <v>709</v>
          </cell>
          <cell r="J243">
            <v>260663.13</v>
          </cell>
          <cell r="K243">
            <v>847.19999999999993</v>
          </cell>
        </row>
        <row r="244">
          <cell r="A244">
            <v>261777.07500000001</v>
          </cell>
          <cell r="B244">
            <v>709</v>
          </cell>
          <cell r="D244">
            <v>261777.07500000001</v>
          </cell>
          <cell r="E244">
            <v>702</v>
          </cell>
          <cell r="G244">
            <v>261777.07500000001</v>
          </cell>
          <cell r="H244">
            <v>712</v>
          </cell>
          <cell r="J244">
            <v>261777.07500000001</v>
          </cell>
          <cell r="K244">
            <v>850.8</v>
          </cell>
        </row>
        <row r="247">
          <cell r="A247" t="str">
            <v>Note the FY2002 grid increases sales by 10% to reflect higher AUR's in the sun stores.  No adjustment made to watches.</v>
          </cell>
        </row>
      </sheetData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XPQUERYDOC_0-2"/>
      <sheetName val="XPQUERYDOC_0"/>
      <sheetName val="XPQUERYDOC_0-3"/>
      <sheetName val="data q1'04"/>
      <sheetName val="data q2'04"/>
      <sheetName val="data q2'05"/>
      <sheetName val="data q3'04"/>
      <sheetName val="q3 '07"/>
      <sheetName val="q3'05"/>
      <sheetName val="Product '07"/>
      <sheetName val="product email"/>
      <sheetName val="Sue Peterson"/>
      <sheetName val="ListaBrand"/>
      <sheetName val="ListaUnits_Door"/>
      <sheetName val="data_q1'04"/>
      <sheetName val="data_q2'04"/>
      <sheetName val="data_q2'05"/>
      <sheetName val="data_q3'04"/>
      <sheetName val="q3_'07"/>
      <sheetName val="Product_'07"/>
      <sheetName val="product_email"/>
      <sheetName val="Sue_Peterson"/>
      <sheetName val="Support Sheet"/>
      <sheetName val=""/>
      <sheetName val="data_q1'041"/>
      <sheetName val="data_q2'041"/>
      <sheetName val="data_q2'051"/>
      <sheetName val="data_q3'041"/>
      <sheetName val="q3_'071"/>
      <sheetName val="Product_'071"/>
      <sheetName val="product_email1"/>
      <sheetName val="Sue_Peterson1"/>
      <sheetName val="Support_Sheet"/>
      <sheetName val="Equalizzatore"/>
      <sheetName val="LB03"/>
      <sheetName val="LISTINO 2003"/>
      <sheetName val="LISTINO 2004"/>
      <sheetName val="data_q1'042"/>
      <sheetName val="data_q2'042"/>
      <sheetName val="data_q2'052"/>
      <sheetName val="data_q3'042"/>
      <sheetName val="q3_'072"/>
      <sheetName val="Product_'072"/>
      <sheetName val="product_email2"/>
      <sheetName val="Sue_Peterson2"/>
      <sheetName val="Support_Sheet1"/>
      <sheetName val="data_q1'043"/>
      <sheetName val="data_q2'043"/>
      <sheetName val="data_q2'053"/>
      <sheetName val="data_q3'043"/>
      <sheetName val="q3_'073"/>
      <sheetName val="Product_'073"/>
      <sheetName val="product_email3"/>
      <sheetName val="Sue_Peterson3"/>
      <sheetName val="Support_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Flex Report"/>
      <sheetName val="Below Flex Ct"/>
      <sheetName val="Str Cts"/>
      <sheetName val="Avg Facings"/>
      <sheetName val="Facings Productivity"/>
      <sheetName val="$ Per Facings"/>
      <sheetName val="Sls_Fac Penetration"/>
      <sheetName val="Store Inv"/>
      <sheetName val="Total Retail Sales"/>
      <sheetName val="Total Facings"/>
      <sheetName val="Facings by Store"/>
      <sheetName val="Flex by Store"/>
      <sheetName val="BO Inv"/>
      <sheetName val="BO Sales"/>
      <sheetName val="RPAS Facings"/>
      <sheetName val="Rpas Capacities"/>
      <sheetName val="Segment 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C1">
            <v>0</v>
          </cell>
          <cell r="D1">
            <v>0</v>
          </cell>
          <cell r="E1">
            <v>0</v>
          </cell>
          <cell r="G1">
            <v>0</v>
          </cell>
        </row>
        <row r="2">
          <cell r="C2">
            <v>41774</v>
          </cell>
        </row>
        <row r="3">
          <cell r="F3">
            <v>0</v>
          </cell>
        </row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</row>
        <row r="5">
          <cell r="D5" t="str">
            <v>Consumer Segment</v>
          </cell>
          <cell r="E5" t="str">
            <v>Segment-RPAS1</v>
          </cell>
          <cell r="F5" t="str">
            <v>Segment-RPAS2</v>
          </cell>
          <cell r="G5" t="str">
            <v>Segment-w Outlet</v>
          </cell>
        </row>
        <row r="7">
          <cell r="C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F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C10">
            <v>461</v>
          </cell>
          <cell r="D10" t="str">
            <v>Core</v>
          </cell>
          <cell r="E10" t="str">
            <v>Platinum</v>
          </cell>
          <cell r="F10" t="str">
            <v>Platinum</v>
          </cell>
          <cell r="G10" t="str">
            <v>Core</v>
          </cell>
          <cell r="H10" t="str">
            <v>SG_01_01 Sun Glass Hut_Platinum_OWNED</v>
          </cell>
          <cell r="I10" t="str">
            <v>0000000461 Barton Creek Square</v>
          </cell>
          <cell r="J10" t="str">
            <v>Platinum - No CH</v>
          </cell>
          <cell r="K10">
            <v>0</v>
          </cell>
        </row>
        <row r="11">
          <cell r="C11">
            <v>977</v>
          </cell>
          <cell r="D11" t="str">
            <v>Core</v>
          </cell>
          <cell r="E11" t="str">
            <v>Platinum</v>
          </cell>
          <cell r="F11" t="str">
            <v>Platinum</v>
          </cell>
          <cell r="G11" t="str">
            <v>Core</v>
          </cell>
          <cell r="H11" t="str">
            <v>SG_01_01 Sun Glass Hut_Platinum_OWNED</v>
          </cell>
          <cell r="I11" t="str">
            <v>0000000977 Tucson Mall</v>
          </cell>
          <cell r="J11" t="str">
            <v>Platinum - No CH</v>
          </cell>
          <cell r="K11">
            <v>0</v>
          </cell>
        </row>
        <row r="12">
          <cell r="C12">
            <v>1173</v>
          </cell>
          <cell r="D12" t="str">
            <v>Core</v>
          </cell>
          <cell r="E12" t="str">
            <v>Platinum</v>
          </cell>
          <cell r="F12" t="str">
            <v>Platinum</v>
          </cell>
          <cell r="G12" t="str">
            <v>Core</v>
          </cell>
          <cell r="H12" t="str">
            <v>SG_01_01 Sun Glass Hut_Platinum_OWNED</v>
          </cell>
          <cell r="I12" t="str">
            <v>0000001173 The Plaza At King Of Prussia</v>
          </cell>
          <cell r="J12" t="str">
            <v>Platinum - CH</v>
          </cell>
          <cell r="K12">
            <v>0</v>
          </cell>
        </row>
        <row r="13">
          <cell r="C13">
            <v>1247</v>
          </cell>
          <cell r="D13" t="str">
            <v>Core</v>
          </cell>
          <cell r="E13" t="str">
            <v>Platinum</v>
          </cell>
          <cell r="F13" t="str">
            <v>Platinum</v>
          </cell>
          <cell r="G13" t="str">
            <v>Core</v>
          </cell>
          <cell r="H13" t="str">
            <v>SG_01_01 Sun Glass Hut_Platinum_OWNED</v>
          </cell>
          <cell r="I13" t="str">
            <v>0000001247 Times Square</v>
          </cell>
          <cell r="J13" t="str">
            <v>Platinum - No CH</v>
          </cell>
          <cell r="K13" t="str">
            <v>Top Tier</v>
          </cell>
        </row>
        <row r="14">
          <cell r="C14">
            <v>1248</v>
          </cell>
          <cell r="D14" t="str">
            <v>Core</v>
          </cell>
          <cell r="E14" t="str">
            <v>Platinum</v>
          </cell>
          <cell r="F14" t="str">
            <v>Platinum</v>
          </cell>
          <cell r="G14" t="str">
            <v>Core</v>
          </cell>
          <cell r="H14" t="str">
            <v>SG_01_01 Sun Glass Hut_Platinum_OWNED</v>
          </cell>
          <cell r="I14" t="str">
            <v>0000001248 Herald Square</v>
          </cell>
          <cell r="J14" t="str">
            <v>Platinum - No CH</v>
          </cell>
          <cell r="K14" t="str">
            <v>Top Tier</v>
          </cell>
        </row>
        <row r="15">
          <cell r="C15">
            <v>1506</v>
          </cell>
          <cell r="D15" t="str">
            <v>Core</v>
          </cell>
          <cell r="E15" t="str">
            <v>Platinum</v>
          </cell>
          <cell r="F15" t="str">
            <v>Platinum</v>
          </cell>
          <cell r="G15" t="str">
            <v>Core</v>
          </cell>
          <cell r="H15" t="str">
            <v>SG_01_01 Sun Glass Hut_Platinum_OWNED</v>
          </cell>
          <cell r="I15" t="str">
            <v>0000001506 Somerset Collection</v>
          </cell>
          <cell r="J15" t="str">
            <v>Platinum - CH</v>
          </cell>
          <cell r="K15" t="str">
            <v>Top Tier</v>
          </cell>
        </row>
        <row r="16">
          <cell r="C16">
            <v>1547</v>
          </cell>
          <cell r="D16" t="str">
            <v>Core</v>
          </cell>
          <cell r="E16" t="str">
            <v>Platinum</v>
          </cell>
          <cell r="F16" t="str">
            <v>Platinum</v>
          </cell>
          <cell r="G16" t="str">
            <v>Core</v>
          </cell>
          <cell r="H16" t="str">
            <v>SG_01_01 Sun Glass Hut_Platinum_OWNED</v>
          </cell>
          <cell r="I16" t="str">
            <v>0000001547 W Colorado Blvd</v>
          </cell>
          <cell r="J16" t="str">
            <v>Platinum - CH</v>
          </cell>
          <cell r="K16">
            <v>0</v>
          </cell>
        </row>
        <row r="17">
          <cell r="C17">
            <v>1548</v>
          </cell>
          <cell r="D17" t="str">
            <v>Core</v>
          </cell>
          <cell r="E17" t="str">
            <v>Platinum</v>
          </cell>
          <cell r="F17" t="str">
            <v>Platinum</v>
          </cell>
          <cell r="G17" t="str">
            <v>Core</v>
          </cell>
          <cell r="H17" t="str">
            <v>SG_01_01 Sun Glass Hut_Platinum_OWNED</v>
          </cell>
          <cell r="I17" t="str">
            <v>0000001548 2nd St at Granada</v>
          </cell>
          <cell r="J17" t="str">
            <v>Platinum - No CH</v>
          </cell>
          <cell r="K17">
            <v>0</v>
          </cell>
        </row>
        <row r="18">
          <cell r="C18">
            <v>1654</v>
          </cell>
          <cell r="D18" t="str">
            <v>Core</v>
          </cell>
          <cell r="E18" t="str">
            <v>Platinum</v>
          </cell>
          <cell r="F18" t="str">
            <v>Platinum</v>
          </cell>
          <cell r="G18" t="str">
            <v>Core</v>
          </cell>
          <cell r="H18" t="str">
            <v>SG_01_01 Sun Glass Hut_Platinum_OWNED</v>
          </cell>
          <cell r="I18" t="str">
            <v>0000001654 The Oaks</v>
          </cell>
          <cell r="J18" t="str">
            <v>Platinum - No CH</v>
          </cell>
          <cell r="K18">
            <v>0</v>
          </cell>
        </row>
        <row r="19">
          <cell r="C19">
            <v>1724</v>
          </cell>
          <cell r="D19" t="str">
            <v>Core</v>
          </cell>
          <cell r="E19" t="str">
            <v>Platinum</v>
          </cell>
          <cell r="F19" t="str">
            <v>Platinum</v>
          </cell>
          <cell r="G19" t="str">
            <v>Core</v>
          </cell>
          <cell r="H19" t="str">
            <v>SG_01_01 Sun Glass Hut_Platinum_OWNED</v>
          </cell>
          <cell r="I19" t="str">
            <v>0000001724 Countryside Mall</v>
          </cell>
          <cell r="J19" t="str">
            <v>Platinum - No CH</v>
          </cell>
          <cell r="K19">
            <v>0</v>
          </cell>
        </row>
        <row r="20">
          <cell r="C20">
            <v>1768</v>
          </cell>
          <cell r="D20" t="str">
            <v>Core</v>
          </cell>
          <cell r="E20" t="str">
            <v>Platinum</v>
          </cell>
          <cell r="F20" t="str">
            <v>Platinum</v>
          </cell>
          <cell r="G20" t="str">
            <v>Core</v>
          </cell>
          <cell r="H20" t="str">
            <v>SG_01_01 Sun Glass Hut_Platinum_OWNED</v>
          </cell>
          <cell r="I20" t="str">
            <v>0000001768 Collins Ave</v>
          </cell>
          <cell r="J20" t="str">
            <v>Platinum - CH</v>
          </cell>
          <cell r="K20">
            <v>0</v>
          </cell>
        </row>
        <row r="21">
          <cell r="C21">
            <v>1769</v>
          </cell>
          <cell r="D21" t="str">
            <v>Core</v>
          </cell>
          <cell r="E21" t="str">
            <v>Platinum</v>
          </cell>
          <cell r="F21" t="str">
            <v>Platinum - Flg</v>
          </cell>
          <cell r="G21" t="str">
            <v>Core</v>
          </cell>
          <cell r="H21" t="str">
            <v>SG_01_01 Sun Glass Hut_Platinum_OWNED</v>
          </cell>
          <cell r="I21" t="str">
            <v>0000001769 Third St Promenade</v>
          </cell>
          <cell r="J21" t="str">
            <v>Platinum - CH</v>
          </cell>
          <cell r="K21" t="str">
            <v>Flagship</v>
          </cell>
        </row>
        <row r="22">
          <cell r="C22">
            <v>1776</v>
          </cell>
          <cell r="D22" t="str">
            <v>Core</v>
          </cell>
          <cell r="E22" t="str">
            <v>Platinum</v>
          </cell>
          <cell r="F22" t="str">
            <v>Platinum</v>
          </cell>
          <cell r="G22" t="str">
            <v>Core</v>
          </cell>
          <cell r="H22" t="str">
            <v>SG_01_01 Sun Glass Hut_Platinum_OWNED</v>
          </cell>
          <cell r="I22" t="str">
            <v>0000001776 Mall Of Louisiana</v>
          </cell>
          <cell r="J22" t="str">
            <v>Platinum - No CH</v>
          </cell>
          <cell r="K22">
            <v>0</v>
          </cell>
        </row>
        <row r="23">
          <cell r="C23">
            <v>1798</v>
          </cell>
          <cell r="D23" t="str">
            <v>Core</v>
          </cell>
          <cell r="E23" t="str">
            <v>Platinum</v>
          </cell>
          <cell r="F23" t="str">
            <v>Platinum</v>
          </cell>
          <cell r="G23" t="str">
            <v>Core</v>
          </cell>
          <cell r="H23" t="str">
            <v>SG_01_01 Sun Glass Hut_Platinum_OWNED</v>
          </cell>
          <cell r="I23" t="str">
            <v>0000001798 Broadway at Houston</v>
          </cell>
          <cell r="J23" t="str">
            <v>Platinum - No CH</v>
          </cell>
          <cell r="K23" t="str">
            <v>Top Tier</v>
          </cell>
        </row>
        <row r="24">
          <cell r="C24">
            <v>1803</v>
          </cell>
          <cell r="D24" t="str">
            <v>Core</v>
          </cell>
          <cell r="E24" t="str">
            <v>Platinum</v>
          </cell>
          <cell r="F24" t="str">
            <v>Platinum</v>
          </cell>
          <cell r="G24" t="str">
            <v>Core</v>
          </cell>
          <cell r="H24" t="str">
            <v>SG_01_01 Sun Glass Hut_Platinum_OWNED</v>
          </cell>
          <cell r="I24" t="str">
            <v>0000001803 Denver Pavilions</v>
          </cell>
          <cell r="J24" t="str">
            <v>Platinum - No CH</v>
          </cell>
          <cell r="K24">
            <v>0</v>
          </cell>
        </row>
        <row r="25">
          <cell r="C25">
            <v>1869</v>
          </cell>
          <cell r="D25" t="str">
            <v>Core</v>
          </cell>
          <cell r="E25" t="str">
            <v>Platinum</v>
          </cell>
          <cell r="F25" t="str">
            <v>Platinum</v>
          </cell>
          <cell r="G25" t="str">
            <v>Core</v>
          </cell>
          <cell r="H25" t="str">
            <v>SG_01_01 Sun Glass Hut_Platinum_OWNED</v>
          </cell>
          <cell r="I25" t="str">
            <v>0000001869 North of Nell</v>
          </cell>
          <cell r="J25" t="str">
            <v>Platinum - No CH</v>
          </cell>
          <cell r="K25">
            <v>0</v>
          </cell>
        </row>
        <row r="26">
          <cell r="C26">
            <v>1879</v>
          </cell>
          <cell r="D26" t="str">
            <v>Core</v>
          </cell>
          <cell r="E26" t="str">
            <v>Platinum</v>
          </cell>
          <cell r="F26" t="str">
            <v>Platinum</v>
          </cell>
          <cell r="G26" t="str">
            <v>Core</v>
          </cell>
          <cell r="H26" t="str">
            <v>SG_01_01 Sun Glass Hut_Platinum_OWNED</v>
          </cell>
          <cell r="I26" t="str">
            <v>0000001879 Spring St</v>
          </cell>
          <cell r="J26" t="str">
            <v>Platinum - No CH</v>
          </cell>
          <cell r="K26" t="str">
            <v>Top Tier</v>
          </cell>
        </row>
        <row r="27">
          <cell r="C27">
            <v>2083</v>
          </cell>
          <cell r="D27" t="str">
            <v>Core</v>
          </cell>
          <cell r="E27" t="str">
            <v>Platinum</v>
          </cell>
          <cell r="F27" t="str">
            <v>Platinum</v>
          </cell>
          <cell r="G27" t="str">
            <v>Core</v>
          </cell>
          <cell r="H27" t="str">
            <v>SG_01_01 Sun Glass Hut_Platinum_OWNED</v>
          </cell>
          <cell r="I27" t="str">
            <v>0000002083 Cool Springs Galleria</v>
          </cell>
          <cell r="J27" t="str">
            <v>Platinum - No CH</v>
          </cell>
          <cell r="K27">
            <v>0</v>
          </cell>
        </row>
        <row r="28">
          <cell r="C28">
            <v>2102</v>
          </cell>
          <cell r="D28" t="str">
            <v>Core</v>
          </cell>
          <cell r="E28" t="str">
            <v>Platinum</v>
          </cell>
          <cell r="F28" t="str">
            <v>Platinum</v>
          </cell>
          <cell r="G28" t="str">
            <v>Core</v>
          </cell>
          <cell r="H28" t="str">
            <v>SG_01_01 Sun Glass Hut_Platinum_OWNED</v>
          </cell>
          <cell r="I28" t="str">
            <v>0000002102 The Falls</v>
          </cell>
          <cell r="J28" t="str">
            <v>Platinum - CH</v>
          </cell>
          <cell r="K28">
            <v>0</v>
          </cell>
        </row>
        <row r="29">
          <cell r="C29">
            <v>2185</v>
          </cell>
          <cell r="D29" t="str">
            <v>Core</v>
          </cell>
          <cell r="E29" t="str">
            <v>Platinum</v>
          </cell>
          <cell r="F29" t="str">
            <v>Platinum</v>
          </cell>
          <cell r="G29" t="str">
            <v>Core</v>
          </cell>
          <cell r="H29" t="str">
            <v>SG_01_01 Sun Glass Hut_Platinum_OWNED</v>
          </cell>
          <cell r="I29" t="str">
            <v>0000002185 Edison Mall</v>
          </cell>
          <cell r="J29" t="str">
            <v>Platinum - No CH</v>
          </cell>
          <cell r="K29">
            <v>0</v>
          </cell>
        </row>
        <row r="30">
          <cell r="C30">
            <v>2264</v>
          </cell>
          <cell r="D30" t="str">
            <v>Core</v>
          </cell>
          <cell r="E30" t="str">
            <v>Platinum</v>
          </cell>
          <cell r="F30" t="str">
            <v>Platinum</v>
          </cell>
          <cell r="G30" t="str">
            <v>Core</v>
          </cell>
          <cell r="H30" t="str">
            <v>SG_01_01 Sun Glass Hut_Platinum_OWNED</v>
          </cell>
          <cell r="I30" t="str">
            <v>0000002264 Topanga Plaza</v>
          </cell>
          <cell r="J30" t="str">
            <v>Platinum - No CH</v>
          </cell>
          <cell r="K30">
            <v>0</v>
          </cell>
        </row>
        <row r="31">
          <cell r="C31">
            <v>2309</v>
          </cell>
          <cell r="D31" t="str">
            <v>Core</v>
          </cell>
          <cell r="E31" t="str">
            <v>Platinum</v>
          </cell>
          <cell r="F31" t="str">
            <v>Platinum</v>
          </cell>
          <cell r="G31" t="str">
            <v>Core</v>
          </cell>
          <cell r="H31" t="str">
            <v>SG_01_01 Sun Glass Hut_Platinum_OWNED</v>
          </cell>
          <cell r="I31" t="str">
            <v>0000002309 Woodfield Mall</v>
          </cell>
          <cell r="J31" t="str">
            <v>Platinum - CH</v>
          </cell>
          <cell r="K31">
            <v>0</v>
          </cell>
        </row>
        <row r="32">
          <cell r="C32">
            <v>2385</v>
          </cell>
          <cell r="D32" t="str">
            <v>Core</v>
          </cell>
          <cell r="E32" t="str">
            <v>Platinum</v>
          </cell>
          <cell r="F32" t="str">
            <v>Platinum</v>
          </cell>
          <cell r="G32" t="str">
            <v>Core</v>
          </cell>
          <cell r="H32" t="str">
            <v>SG_01_01 Sun Glass Hut_Platinum_OWNED</v>
          </cell>
          <cell r="I32" t="str">
            <v>0000002385 Orchard Park Shopping Centre</v>
          </cell>
          <cell r="J32" t="str">
            <v>Platinum - No CH</v>
          </cell>
          <cell r="K32">
            <v>0</v>
          </cell>
        </row>
        <row r="33">
          <cell r="C33">
            <v>2400</v>
          </cell>
          <cell r="D33" t="str">
            <v>Core</v>
          </cell>
          <cell r="E33" t="str">
            <v>Platinum</v>
          </cell>
          <cell r="F33" t="str">
            <v>Platinum</v>
          </cell>
          <cell r="G33" t="str">
            <v>Core</v>
          </cell>
          <cell r="H33" t="str">
            <v>SG_01_01 Sun Glass Hut_Platinum_OWNED</v>
          </cell>
          <cell r="I33" t="str">
            <v>0000002400 E 86th St</v>
          </cell>
          <cell r="J33" t="str">
            <v>Platinum - No CH</v>
          </cell>
          <cell r="K33">
            <v>0</v>
          </cell>
        </row>
        <row r="34">
          <cell r="C34">
            <v>2437</v>
          </cell>
          <cell r="D34" t="str">
            <v>Core</v>
          </cell>
          <cell r="E34" t="str">
            <v>Platinum</v>
          </cell>
          <cell r="F34" t="str">
            <v>Platinum</v>
          </cell>
          <cell r="G34" t="str">
            <v>Core</v>
          </cell>
          <cell r="H34" t="str">
            <v>SG_01_01 Sun Glass Hut_Platinum_OWNED</v>
          </cell>
          <cell r="I34" t="str">
            <v>0000002437 Southlake Town Square</v>
          </cell>
          <cell r="J34" t="str">
            <v>Platinum - No CH</v>
          </cell>
          <cell r="K34">
            <v>0</v>
          </cell>
        </row>
        <row r="35">
          <cell r="C35">
            <v>2449</v>
          </cell>
          <cell r="D35" t="str">
            <v>Core</v>
          </cell>
          <cell r="E35" t="str">
            <v>Platinum</v>
          </cell>
          <cell r="F35" t="str">
            <v>Platinum</v>
          </cell>
          <cell r="G35" t="str">
            <v>Core</v>
          </cell>
          <cell r="H35" t="str">
            <v>SG_01_01 Sun Glass Hut_Platinum_OWNED</v>
          </cell>
          <cell r="I35" t="str">
            <v>0000002449 Old Orchard Mall</v>
          </cell>
          <cell r="J35" t="str">
            <v>Platinum - CH</v>
          </cell>
          <cell r="K35">
            <v>0</v>
          </cell>
        </row>
        <row r="36">
          <cell r="C36">
            <v>2533</v>
          </cell>
          <cell r="D36" t="str">
            <v>Core</v>
          </cell>
          <cell r="E36" t="str">
            <v>Platinum</v>
          </cell>
          <cell r="F36" t="str">
            <v>Platinum</v>
          </cell>
          <cell r="G36" t="str">
            <v>Core</v>
          </cell>
          <cell r="H36" t="str">
            <v>SG_01_01 Sun Glass Hut_Platinum_OWNED</v>
          </cell>
          <cell r="I36" t="str">
            <v>0000002533 Faneuil Hall Marketplace</v>
          </cell>
          <cell r="J36" t="str">
            <v>Platinum - No CH</v>
          </cell>
          <cell r="K36">
            <v>0</v>
          </cell>
        </row>
        <row r="37">
          <cell r="C37">
            <v>2555</v>
          </cell>
          <cell r="D37" t="str">
            <v>Core</v>
          </cell>
          <cell r="E37" t="str">
            <v>Platinum</v>
          </cell>
          <cell r="F37" t="str">
            <v>Platinum</v>
          </cell>
          <cell r="G37" t="str">
            <v>Core</v>
          </cell>
          <cell r="H37" t="str">
            <v>SG_01_01 Sun Glass Hut_Platinum_OWNED</v>
          </cell>
          <cell r="I37" t="str">
            <v>0000002555 Robson St</v>
          </cell>
          <cell r="J37" t="str">
            <v>Platinum - CH</v>
          </cell>
          <cell r="K37">
            <v>0</v>
          </cell>
        </row>
        <row r="38">
          <cell r="C38">
            <v>2564</v>
          </cell>
          <cell r="D38" t="str">
            <v>Core</v>
          </cell>
          <cell r="E38" t="str">
            <v>Platinum</v>
          </cell>
          <cell r="F38" t="str">
            <v>Platinum</v>
          </cell>
          <cell r="G38" t="str">
            <v>Core</v>
          </cell>
          <cell r="H38" t="str">
            <v>SG_01_01 Sun Glass Hut_Platinum_OWNED</v>
          </cell>
          <cell r="I38" t="str">
            <v>0000002564 The Summit</v>
          </cell>
          <cell r="J38" t="str">
            <v>Platinum - CH</v>
          </cell>
          <cell r="K38">
            <v>0</v>
          </cell>
        </row>
        <row r="39">
          <cell r="C39">
            <v>2707</v>
          </cell>
          <cell r="D39" t="str">
            <v>Core</v>
          </cell>
          <cell r="E39" t="str">
            <v>Platinum</v>
          </cell>
          <cell r="F39" t="str">
            <v>Platinum</v>
          </cell>
          <cell r="G39" t="str">
            <v>Core</v>
          </cell>
          <cell r="H39" t="str">
            <v>SG_01_01 Sun Glass Hut_Platinum_OWNED</v>
          </cell>
          <cell r="I39" t="str">
            <v>0000002707 West Edmonton Mall</v>
          </cell>
          <cell r="J39" t="str">
            <v>Platinum - No CH</v>
          </cell>
          <cell r="K39">
            <v>0</v>
          </cell>
        </row>
        <row r="40">
          <cell r="C40">
            <v>2709</v>
          </cell>
          <cell r="D40" t="str">
            <v>Core</v>
          </cell>
          <cell r="E40" t="str">
            <v>Platinum</v>
          </cell>
          <cell r="F40" t="str">
            <v>Platinum</v>
          </cell>
          <cell r="G40" t="str">
            <v>Core</v>
          </cell>
          <cell r="H40" t="str">
            <v>SG_01_01 Sun Glass Hut_Platinum_OWNED</v>
          </cell>
          <cell r="I40" t="str">
            <v>0000002709 Christiana Mall</v>
          </cell>
          <cell r="J40" t="str">
            <v>Platinum - CH</v>
          </cell>
          <cell r="K40">
            <v>0</v>
          </cell>
        </row>
        <row r="41">
          <cell r="C41">
            <v>2767</v>
          </cell>
          <cell r="D41" t="str">
            <v>Core</v>
          </cell>
          <cell r="E41" t="str">
            <v>Platinum</v>
          </cell>
          <cell r="F41" t="str">
            <v>Platinum</v>
          </cell>
          <cell r="G41" t="str">
            <v>Core</v>
          </cell>
          <cell r="H41" t="str">
            <v>SG_01_01 Sun Glass Hut_Platinum_OWNED</v>
          </cell>
          <cell r="I41" t="str">
            <v>0000002767 1023 Third Ave</v>
          </cell>
          <cell r="J41" t="str">
            <v>Platinum - No CH</v>
          </cell>
          <cell r="K41">
            <v>0</v>
          </cell>
        </row>
        <row r="42">
          <cell r="C42">
            <v>2798</v>
          </cell>
          <cell r="D42" t="str">
            <v>Core</v>
          </cell>
          <cell r="E42" t="str">
            <v>Platinum</v>
          </cell>
          <cell r="F42" t="str">
            <v>Platinum</v>
          </cell>
          <cell r="G42" t="str">
            <v>Core</v>
          </cell>
          <cell r="H42" t="str">
            <v>SG_01_01 Sun Glass Hut_Platinum_OWNED</v>
          </cell>
          <cell r="I42" t="str">
            <v>0000002798 Fashion Valley</v>
          </cell>
          <cell r="J42" t="str">
            <v>Platinum - CH</v>
          </cell>
          <cell r="K42" t="str">
            <v>Top Tier</v>
          </cell>
        </row>
        <row r="43">
          <cell r="C43">
            <v>2869</v>
          </cell>
          <cell r="D43" t="str">
            <v>Core</v>
          </cell>
          <cell r="E43" t="str">
            <v>Platinum</v>
          </cell>
          <cell r="F43" t="str">
            <v>Platinum</v>
          </cell>
          <cell r="G43" t="str">
            <v>Core</v>
          </cell>
          <cell r="H43" t="str">
            <v>SG_01_01 Sun Glass Hut_Platinum_OWNED</v>
          </cell>
          <cell r="I43" t="str">
            <v>0000002869 M St</v>
          </cell>
          <cell r="J43" t="str">
            <v>Platinum - CH</v>
          </cell>
          <cell r="K43">
            <v>0</v>
          </cell>
        </row>
        <row r="44">
          <cell r="C44">
            <v>2871</v>
          </cell>
          <cell r="D44" t="str">
            <v>Core</v>
          </cell>
          <cell r="E44" t="str">
            <v>Platinum</v>
          </cell>
          <cell r="F44" t="str">
            <v>Platinum</v>
          </cell>
          <cell r="G44" t="str">
            <v>Core</v>
          </cell>
          <cell r="H44" t="str">
            <v>SG_01_01 Sun Glass Hut_Platinum_OWNED</v>
          </cell>
          <cell r="I44" t="str">
            <v>0000002871 Saint Catherine St</v>
          </cell>
          <cell r="J44" t="str">
            <v>Platinum - CH</v>
          </cell>
          <cell r="K44">
            <v>0</v>
          </cell>
        </row>
        <row r="45">
          <cell r="C45">
            <v>2872</v>
          </cell>
          <cell r="D45" t="str">
            <v>Core</v>
          </cell>
          <cell r="E45" t="str">
            <v>Platinum</v>
          </cell>
          <cell r="F45" t="str">
            <v>Platinum</v>
          </cell>
          <cell r="G45" t="str">
            <v>Core</v>
          </cell>
          <cell r="H45" t="str">
            <v>SG_01_01 Sun Glass Hut_Platinum_OWNED</v>
          </cell>
          <cell r="I45" t="str">
            <v>0000002872 Heritage Quay</v>
          </cell>
          <cell r="J45" t="str">
            <v>Platinum - No CH</v>
          </cell>
          <cell r="K45">
            <v>0</v>
          </cell>
        </row>
        <row r="46">
          <cell r="C46">
            <v>2969</v>
          </cell>
          <cell r="D46" t="str">
            <v>Core</v>
          </cell>
          <cell r="E46" t="str">
            <v>Platinum</v>
          </cell>
          <cell r="F46" t="str">
            <v>Platinum</v>
          </cell>
          <cell r="G46" t="str">
            <v>Core</v>
          </cell>
          <cell r="H46" t="str">
            <v>SG_01_01 Sun Glass Hut_Platinum_OWNED</v>
          </cell>
          <cell r="I46" t="str">
            <v>0000002969 Kings Shops</v>
          </cell>
          <cell r="J46" t="str">
            <v>Platinum - No CH</v>
          </cell>
          <cell r="K46">
            <v>0</v>
          </cell>
        </row>
        <row r="47">
          <cell r="C47">
            <v>2974</v>
          </cell>
          <cell r="D47" t="str">
            <v>Core</v>
          </cell>
          <cell r="E47" t="str">
            <v>Platinum</v>
          </cell>
          <cell r="F47" t="str">
            <v>Platinum</v>
          </cell>
          <cell r="G47" t="str">
            <v>Core</v>
          </cell>
          <cell r="H47" t="str">
            <v>SG_01_01 Sun Glass Hut_Platinum_OWNED</v>
          </cell>
          <cell r="I47" t="str">
            <v>0000002974 Front Street</v>
          </cell>
          <cell r="J47" t="str">
            <v>Platinum - CH</v>
          </cell>
          <cell r="K47">
            <v>0</v>
          </cell>
        </row>
        <row r="48">
          <cell r="C48">
            <v>3024</v>
          </cell>
          <cell r="D48" t="str">
            <v>Core</v>
          </cell>
          <cell r="E48" t="str">
            <v>Platinum</v>
          </cell>
          <cell r="F48" t="str">
            <v>Platinum - Flg</v>
          </cell>
          <cell r="G48" t="str">
            <v>Core</v>
          </cell>
          <cell r="H48" t="str">
            <v>SG_01_01 Sun Glass Hut_Platinum_OWNED</v>
          </cell>
          <cell r="I48" t="str">
            <v>0000003024 Disneyworld</v>
          </cell>
          <cell r="J48" t="str">
            <v>Platinum - No CH</v>
          </cell>
          <cell r="K48" t="str">
            <v>Flagship</v>
          </cell>
        </row>
        <row r="49">
          <cell r="C49">
            <v>3025</v>
          </cell>
          <cell r="D49" t="str">
            <v>Core</v>
          </cell>
          <cell r="E49" t="str">
            <v>Platinum</v>
          </cell>
          <cell r="F49" t="str">
            <v>Platinum - Flg</v>
          </cell>
          <cell r="G49" t="str">
            <v>Core</v>
          </cell>
          <cell r="H49" t="str">
            <v>SG_01_01 Sun Glass Hut_Platinum_OWNED</v>
          </cell>
          <cell r="I49" t="str">
            <v>0000003025 Disneyland</v>
          </cell>
          <cell r="J49" t="str">
            <v>Platinum - No CH</v>
          </cell>
          <cell r="K49" t="str">
            <v>Flagship</v>
          </cell>
        </row>
        <row r="50">
          <cell r="C50">
            <v>3031</v>
          </cell>
          <cell r="D50" t="str">
            <v>Core</v>
          </cell>
          <cell r="E50" t="str">
            <v>Platinum</v>
          </cell>
          <cell r="F50" t="str">
            <v>Platinum</v>
          </cell>
          <cell r="G50" t="str">
            <v>Core</v>
          </cell>
          <cell r="H50" t="str">
            <v>SG_01_01 Sun Glass Hut_Platinum_OWNED</v>
          </cell>
          <cell r="I50" t="str">
            <v>0000003031 Bryant Park</v>
          </cell>
          <cell r="J50" t="str">
            <v>Platinum - No CH</v>
          </cell>
          <cell r="K50">
            <v>0</v>
          </cell>
        </row>
        <row r="51">
          <cell r="C51">
            <v>3036</v>
          </cell>
          <cell r="D51" t="str">
            <v>Core</v>
          </cell>
          <cell r="E51" t="str">
            <v>Platinum</v>
          </cell>
          <cell r="F51" t="str">
            <v>Platinum</v>
          </cell>
          <cell r="G51" t="str">
            <v>Core</v>
          </cell>
          <cell r="H51" t="str">
            <v>SG_01_01 Sun Glass Hut_Platinum_OWNED</v>
          </cell>
          <cell r="I51" t="str">
            <v>0000003036 The Fashion Mall at Keystone</v>
          </cell>
          <cell r="J51" t="str">
            <v>Platinum - No CH</v>
          </cell>
          <cell r="K51">
            <v>0</v>
          </cell>
        </row>
        <row r="52">
          <cell r="C52">
            <v>3038</v>
          </cell>
          <cell r="D52" t="str">
            <v>Core</v>
          </cell>
          <cell r="E52" t="str">
            <v>Platinum</v>
          </cell>
          <cell r="F52" t="str">
            <v>Platinum</v>
          </cell>
          <cell r="G52" t="str">
            <v>Core</v>
          </cell>
          <cell r="H52" t="str">
            <v>SG_01_01 Sun Glass Hut_Platinum_OWNED</v>
          </cell>
          <cell r="I52" t="str">
            <v>0000003038 Powell Street</v>
          </cell>
          <cell r="J52" t="str">
            <v>Platinum - No CH</v>
          </cell>
          <cell r="K52">
            <v>0</v>
          </cell>
        </row>
        <row r="53">
          <cell r="C53">
            <v>3039</v>
          </cell>
          <cell r="D53" t="str">
            <v>Core</v>
          </cell>
          <cell r="E53" t="str">
            <v>Platinum</v>
          </cell>
          <cell r="F53" t="str">
            <v>Platinum</v>
          </cell>
          <cell r="G53" t="str">
            <v>Core</v>
          </cell>
          <cell r="H53" t="str">
            <v>SG_01_01 Sun Glass Hut_Platinum_OWNED</v>
          </cell>
          <cell r="I53" t="str">
            <v>0000003039 183 Broadway</v>
          </cell>
          <cell r="J53" t="str">
            <v>Platinum - No CH</v>
          </cell>
          <cell r="K53">
            <v>0</v>
          </cell>
        </row>
        <row r="54">
          <cell r="C54">
            <v>3125</v>
          </cell>
          <cell r="D54" t="str">
            <v>Core</v>
          </cell>
          <cell r="E54" t="str">
            <v>Platinum</v>
          </cell>
          <cell r="F54" t="str">
            <v>Platinum</v>
          </cell>
          <cell r="G54" t="str">
            <v>Core</v>
          </cell>
          <cell r="H54" t="str">
            <v>SG_01_01 Sun Glass Hut_Platinum_OWNED</v>
          </cell>
          <cell r="I54" t="str">
            <v>0000003125 South Coast Plaza</v>
          </cell>
          <cell r="J54" t="str">
            <v>Platinum - No CH</v>
          </cell>
          <cell r="K54">
            <v>0</v>
          </cell>
        </row>
        <row r="55">
          <cell r="C55">
            <v>3130</v>
          </cell>
          <cell r="D55" t="str">
            <v>Core</v>
          </cell>
          <cell r="E55" t="str">
            <v>Platinum</v>
          </cell>
          <cell r="F55" t="str">
            <v>Platinum</v>
          </cell>
          <cell r="G55" t="str">
            <v>Core</v>
          </cell>
          <cell r="H55" t="str">
            <v>SG_01_01 Sun Glass Hut_Platinum_OWNED</v>
          </cell>
          <cell r="I55" t="str">
            <v>0000003130 Shops at Mission Viejo</v>
          </cell>
          <cell r="J55" t="str">
            <v>Platinum - CH</v>
          </cell>
          <cell r="K55">
            <v>0</v>
          </cell>
        </row>
        <row r="56">
          <cell r="C56">
            <v>3145</v>
          </cell>
          <cell r="D56" t="str">
            <v>Core</v>
          </cell>
          <cell r="E56" t="str">
            <v>Platinum</v>
          </cell>
          <cell r="F56" t="str">
            <v>Platinum</v>
          </cell>
          <cell r="G56" t="str">
            <v>Core</v>
          </cell>
          <cell r="H56" t="str">
            <v>SG_01_01 Sun Glass Hut_Platinum_OWNED</v>
          </cell>
          <cell r="I56" t="str">
            <v>0000003145 Dulles Town Center</v>
          </cell>
          <cell r="J56" t="str">
            <v>Platinum - CH</v>
          </cell>
          <cell r="K56">
            <v>0</v>
          </cell>
        </row>
        <row r="57">
          <cell r="C57">
            <v>3187</v>
          </cell>
          <cell r="D57" t="str">
            <v>Core</v>
          </cell>
          <cell r="E57" t="str">
            <v>Platinum</v>
          </cell>
          <cell r="F57" t="str">
            <v>Platinum</v>
          </cell>
          <cell r="G57" t="str">
            <v>Core</v>
          </cell>
          <cell r="H57" t="str">
            <v>SG_01_01 Sun Glass Hut_Platinum_OWNED</v>
          </cell>
          <cell r="I57" t="str">
            <v>0000003187 Chicago O'Hare Int'l Airport</v>
          </cell>
          <cell r="J57" t="str">
            <v>Platinum - No CH</v>
          </cell>
          <cell r="K57">
            <v>0</v>
          </cell>
        </row>
        <row r="58">
          <cell r="C58">
            <v>3188</v>
          </cell>
          <cell r="D58" t="str">
            <v>Core</v>
          </cell>
          <cell r="E58" t="str">
            <v>Platinum</v>
          </cell>
          <cell r="F58" t="str">
            <v>Platinum</v>
          </cell>
          <cell r="G58" t="str">
            <v>Core</v>
          </cell>
          <cell r="H58" t="str">
            <v>SG_01_01 Sun Glass Hut_Platinum_OWNED</v>
          </cell>
          <cell r="I58" t="str">
            <v>0000003188 The Mall At Green Hills</v>
          </cell>
          <cell r="J58" t="str">
            <v>Platinum - CH</v>
          </cell>
          <cell r="K58">
            <v>0</v>
          </cell>
        </row>
        <row r="59">
          <cell r="C59">
            <v>3195</v>
          </cell>
          <cell r="D59" t="str">
            <v>Core</v>
          </cell>
          <cell r="E59" t="str">
            <v>Platinum</v>
          </cell>
          <cell r="F59" t="str">
            <v>Platinum</v>
          </cell>
          <cell r="G59" t="str">
            <v>Core</v>
          </cell>
          <cell r="H59" t="str">
            <v>SG_01_01 Sun Glass Hut_Platinum_OWNED</v>
          </cell>
          <cell r="I59" t="str">
            <v>0000003195 Miracle Mile Shops</v>
          </cell>
          <cell r="J59" t="str">
            <v>Platinum - No CH</v>
          </cell>
          <cell r="K59">
            <v>0</v>
          </cell>
        </row>
        <row r="60">
          <cell r="C60">
            <v>3199</v>
          </cell>
          <cell r="D60" t="str">
            <v>Core</v>
          </cell>
          <cell r="E60" t="str">
            <v>Platinum</v>
          </cell>
          <cell r="F60" t="str">
            <v>Platinum</v>
          </cell>
          <cell r="G60" t="str">
            <v>Core</v>
          </cell>
          <cell r="H60" t="str">
            <v>SG_01_01 Sun Glass Hut_Platinum_OWNED</v>
          </cell>
          <cell r="I60" t="str">
            <v>0000003199 The Shops at North Bridge</v>
          </cell>
          <cell r="J60" t="str">
            <v>Platinum - CH</v>
          </cell>
          <cell r="K60">
            <v>0</v>
          </cell>
        </row>
        <row r="61">
          <cell r="C61">
            <v>3271</v>
          </cell>
          <cell r="D61" t="str">
            <v>Core</v>
          </cell>
          <cell r="E61" t="str">
            <v>Platinum</v>
          </cell>
          <cell r="F61" t="str">
            <v>Platinum - Flg</v>
          </cell>
          <cell r="G61" t="str">
            <v>Core</v>
          </cell>
          <cell r="H61" t="str">
            <v>SG_01_01 Sun Glass Hut_Platinum_OWNED</v>
          </cell>
          <cell r="I61" t="str">
            <v>0000003271 Lincoln Rd</v>
          </cell>
          <cell r="J61" t="str">
            <v>Platinum - CH</v>
          </cell>
          <cell r="K61" t="str">
            <v>Flagship</v>
          </cell>
        </row>
        <row r="62">
          <cell r="C62">
            <v>3283</v>
          </cell>
          <cell r="D62" t="str">
            <v>Core</v>
          </cell>
          <cell r="E62" t="str">
            <v>Platinum</v>
          </cell>
          <cell r="F62" t="str">
            <v>Platinum</v>
          </cell>
          <cell r="G62" t="str">
            <v>Core</v>
          </cell>
          <cell r="H62" t="str">
            <v>SG_01_01 Sun Glass Hut_Platinum_OWNED</v>
          </cell>
          <cell r="I62" t="str">
            <v>0000003283 Lenox Square</v>
          </cell>
          <cell r="J62" t="str">
            <v>Platinum - CH</v>
          </cell>
          <cell r="K62" t="str">
            <v>Top Tier</v>
          </cell>
        </row>
        <row r="63">
          <cell r="C63">
            <v>3294</v>
          </cell>
          <cell r="D63" t="str">
            <v>Core</v>
          </cell>
          <cell r="E63" t="str">
            <v>Platinum</v>
          </cell>
          <cell r="F63" t="str">
            <v>Platinum</v>
          </cell>
          <cell r="G63" t="str">
            <v>Core</v>
          </cell>
          <cell r="H63" t="str">
            <v>SG_01_01 Sun Glass Hut_Platinum_OWNED</v>
          </cell>
          <cell r="I63" t="str">
            <v>0000003294 City Creek Center</v>
          </cell>
          <cell r="J63" t="str">
            <v>Platinum - CH</v>
          </cell>
          <cell r="K63">
            <v>0</v>
          </cell>
        </row>
        <row r="64">
          <cell r="C64">
            <v>3411</v>
          </cell>
          <cell r="D64" t="str">
            <v>Core</v>
          </cell>
          <cell r="E64" t="str">
            <v>Platinum</v>
          </cell>
          <cell r="F64" t="str">
            <v>Platinum</v>
          </cell>
          <cell r="G64" t="str">
            <v>Core</v>
          </cell>
          <cell r="H64" t="str">
            <v>SG_01_01 Sun Glass Hut_Platinum_OWNED</v>
          </cell>
          <cell r="I64" t="str">
            <v>0000003411 Chicago O'Hare Int'l Airport</v>
          </cell>
          <cell r="J64" t="str">
            <v>Platinum - No CH</v>
          </cell>
          <cell r="K64" t="str">
            <v>Top Tier</v>
          </cell>
        </row>
        <row r="65">
          <cell r="C65">
            <v>3414</v>
          </cell>
          <cell r="D65" t="str">
            <v>Core</v>
          </cell>
          <cell r="E65" t="str">
            <v>Platinum</v>
          </cell>
          <cell r="F65" t="str">
            <v>Platinum</v>
          </cell>
          <cell r="G65" t="str">
            <v>Core</v>
          </cell>
          <cell r="H65" t="str">
            <v>SG_01_01 Sun Glass Hut_Platinum_OWNED</v>
          </cell>
          <cell r="I65" t="str">
            <v>0000003414 Country Club Plaza</v>
          </cell>
          <cell r="J65" t="str">
            <v>Platinum - No CH</v>
          </cell>
          <cell r="K65">
            <v>0</v>
          </cell>
        </row>
        <row r="66">
          <cell r="C66">
            <v>3416</v>
          </cell>
          <cell r="D66" t="str">
            <v>Core</v>
          </cell>
          <cell r="E66" t="str">
            <v>Platinum</v>
          </cell>
          <cell r="F66" t="str">
            <v>Platinum</v>
          </cell>
          <cell r="G66" t="str">
            <v>Core</v>
          </cell>
          <cell r="H66" t="str">
            <v>SG_01_01 Sun Glass Hut_Platinum_OWNED</v>
          </cell>
          <cell r="I66" t="str">
            <v>0000003416 Philadelphia Int'l Airport</v>
          </cell>
          <cell r="J66" t="str">
            <v>Platinum - No CH</v>
          </cell>
          <cell r="K66">
            <v>0</v>
          </cell>
        </row>
        <row r="67">
          <cell r="C67">
            <v>3452</v>
          </cell>
          <cell r="D67" t="str">
            <v>Core</v>
          </cell>
          <cell r="E67" t="str">
            <v>Platinum</v>
          </cell>
          <cell r="F67" t="str">
            <v>Platinum</v>
          </cell>
          <cell r="G67" t="str">
            <v>Core</v>
          </cell>
          <cell r="H67" t="str">
            <v>SG_01_01 Sun Glass Hut_Platinum_OWNED</v>
          </cell>
          <cell r="I67" t="str">
            <v>0000003452 Valley Fair Mall</v>
          </cell>
          <cell r="J67" t="str">
            <v>Platinum - No CH</v>
          </cell>
          <cell r="K67">
            <v>0</v>
          </cell>
        </row>
        <row r="68">
          <cell r="C68">
            <v>3460</v>
          </cell>
          <cell r="D68" t="str">
            <v>Core</v>
          </cell>
          <cell r="E68" t="str">
            <v>Platinum</v>
          </cell>
          <cell r="F68" t="str">
            <v>Platinum</v>
          </cell>
          <cell r="G68" t="str">
            <v>Core</v>
          </cell>
          <cell r="H68" t="str">
            <v>SG_01_01 Sun Glass Hut_Platinum_OWNED</v>
          </cell>
          <cell r="I68" t="str">
            <v>0000003460 The Irvine Spectrum Center</v>
          </cell>
          <cell r="J68" t="str">
            <v>Platinum - CH</v>
          </cell>
          <cell r="K68">
            <v>0</v>
          </cell>
        </row>
        <row r="69">
          <cell r="C69">
            <v>3476</v>
          </cell>
          <cell r="D69" t="str">
            <v>Core</v>
          </cell>
          <cell r="E69" t="str">
            <v>Platinum</v>
          </cell>
          <cell r="F69" t="str">
            <v>Platinum</v>
          </cell>
          <cell r="G69" t="str">
            <v>Core</v>
          </cell>
          <cell r="H69" t="str">
            <v>SG_01_01 Sun Glass Hut_Platinum_OWNED</v>
          </cell>
          <cell r="I69" t="str">
            <v>0000003476 Aventura Mall</v>
          </cell>
          <cell r="J69" t="str">
            <v>Platinum - No CH</v>
          </cell>
          <cell r="K69" t="str">
            <v>Top Tier</v>
          </cell>
        </row>
        <row r="70">
          <cell r="C70">
            <v>3544</v>
          </cell>
          <cell r="D70" t="str">
            <v>Core</v>
          </cell>
          <cell r="E70" t="str">
            <v>Platinum</v>
          </cell>
          <cell r="F70" t="str">
            <v>Platinum</v>
          </cell>
          <cell r="G70" t="str">
            <v>Core</v>
          </cell>
          <cell r="H70" t="str">
            <v>SG_01_01 Sun Glass Hut_Platinum_OWNED</v>
          </cell>
          <cell r="I70" t="str">
            <v>0000003544 Toronto Eaton Centre</v>
          </cell>
          <cell r="J70" t="str">
            <v>Platinum - No CH</v>
          </cell>
          <cell r="K70">
            <v>0</v>
          </cell>
        </row>
        <row r="71">
          <cell r="C71">
            <v>3549</v>
          </cell>
          <cell r="D71" t="str">
            <v>Core</v>
          </cell>
          <cell r="E71" t="str">
            <v>Platinum</v>
          </cell>
          <cell r="F71" t="str">
            <v>Platinum</v>
          </cell>
          <cell r="G71" t="str">
            <v>Core</v>
          </cell>
          <cell r="H71" t="str">
            <v>SG_01_01 Sun Glass Hut_Platinum_OWNED</v>
          </cell>
          <cell r="I71" t="str">
            <v>0000003549 Willowbrook Mall</v>
          </cell>
          <cell r="J71" t="str">
            <v>Platinum - No CH</v>
          </cell>
          <cell r="K71" t="str">
            <v>Top Tier</v>
          </cell>
        </row>
        <row r="72">
          <cell r="C72">
            <v>3569</v>
          </cell>
          <cell r="D72" t="str">
            <v>Core</v>
          </cell>
          <cell r="E72" t="str">
            <v>Platinum</v>
          </cell>
          <cell r="F72" t="str">
            <v>Platinum</v>
          </cell>
          <cell r="G72" t="str">
            <v>Core</v>
          </cell>
          <cell r="H72" t="str">
            <v>SG_01_01 Sun Glass Hut_Platinum_OWNED</v>
          </cell>
          <cell r="I72" t="str">
            <v>0000003569 Westfarms Mall</v>
          </cell>
          <cell r="J72" t="str">
            <v>Platinum - No CH</v>
          </cell>
          <cell r="K72">
            <v>0</v>
          </cell>
        </row>
        <row r="73">
          <cell r="C73">
            <v>3573</v>
          </cell>
          <cell r="D73" t="str">
            <v>Core</v>
          </cell>
          <cell r="E73" t="str">
            <v>Platinum</v>
          </cell>
          <cell r="F73" t="str">
            <v>Platinum</v>
          </cell>
          <cell r="G73" t="str">
            <v>Core</v>
          </cell>
          <cell r="H73" t="str">
            <v>SG_01_01 Sun Glass Hut_Platinum_OWNED</v>
          </cell>
          <cell r="I73" t="str">
            <v>0000003573 Lakeside Shopping Center</v>
          </cell>
          <cell r="J73" t="str">
            <v>Platinum - CH</v>
          </cell>
          <cell r="K73">
            <v>0</v>
          </cell>
        </row>
        <row r="74">
          <cell r="C74">
            <v>3579</v>
          </cell>
          <cell r="D74" t="str">
            <v>Core</v>
          </cell>
          <cell r="E74" t="str">
            <v>Platinum</v>
          </cell>
          <cell r="F74" t="str">
            <v>Platinum</v>
          </cell>
          <cell r="G74" t="str">
            <v>Core</v>
          </cell>
          <cell r="H74" t="str">
            <v>SG_01_01 Sun Glass Hut_Platinum_OWNED</v>
          </cell>
          <cell r="I74" t="str">
            <v>0000003579 Chandler Fashion Center</v>
          </cell>
          <cell r="J74" t="str">
            <v>Platinum - CH</v>
          </cell>
          <cell r="K74">
            <v>0</v>
          </cell>
        </row>
        <row r="75">
          <cell r="C75">
            <v>3580</v>
          </cell>
          <cell r="D75" t="str">
            <v>Core</v>
          </cell>
          <cell r="E75" t="str">
            <v>Platinum</v>
          </cell>
          <cell r="F75" t="str">
            <v>Platinum</v>
          </cell>
          <cell r="G75" t="str">
            <v>Core</v>
          </cell>
          <cell r="H75" t="str">
            <v>SG_01_01 Sun Glass Hut_Platinum_OWNED</v>
          </cell>
          <cell r="I75" t="str">
            <v>0000003580 The Mall at Wellington Green</v>
          </cell>
          <cell r="J75" t="str">
            <v>Platinum - CH</v>
          </cell>
          <cell r="K75">
            <v>0</v>
          </cell>
        </row>
        <row r="76">
          <cell r="C76">
            <v>3615</v>
          </cell>
          <cell r="D76" t="str">
            <v>Core</v>
          </cell>
          <cell r="E76" t="str">
            <v>Platinum</v>
          </cell>
          <cell r="F76" t="str">
            <v>Platinum</v>
          </cell>
          <cell r="G76" t="str">
            <v>Core</v>
          </cell>
          <cell r="H76" t="str">
            <v>SG_01_01 Sun Glass Hut_Platinum_OWNED</v>
          </cell>
          <cell r="I76" t="str">
            <v>0000003615 International Plaza</v>
          </cell>
          <cell r="J76" t="str">
            <v>Platinum - CH</v>
          </cell>
          <cell r="K76" t="str">
            <v>Top Tier</v>
          </cell>
        </row>
        <row r="77">
          <cell r="C77">
            <v>3633</v>
          </cell>
          <cell r="D77" t="str">
            <v>Core</v>
          </cell>
          <cell r="E77" t="str">
            <v>Platinum</v>
          </cell>
          <cell r="F77" t="str">
            <v>Platinum</v>
          </cell>
          <cell r="G77" t="str">
            <v>Core</v>
          </cell>
          <cell r="H77" t="str">
            <v>SG_01_01 Sun Glass Hut_Platinum_OWNED</v>
          </cell>
          <cell r="I77" t="str">
            <v>0000003633 Brea Mall</v>
          </cell>
          <cell r="J77" t="str">
            <v>Platinum - CH</v>
          </cell>
          <cell r="K77">
            <v>0</v>
          </cell>
        </row>
        <row r="78">
          <cell r="C78">
            <v>3635</v>
          </cell>
          <cell r="D78" t="str">
            <v>Core</v>
          </cell>
          <cell r="E78" t="str">
            <v>Platinum</v>
          </cell>
          <cell r="F78" t="str">
            <v>Platinum</v>
          </cell>
          <cell r="G78" t="str">
            <v>Core</v>
          </cell>
          <cell r="H78" t="str">
            <v>SG_01_01 Sun Glass Hut_Platinum_OWNED</v>
          </cell>
          <cell r="I78" t="str">
            <v>0000003635 Square One Shopping Centre</v>
          </cell>
          <cell r="J78" t="str">
            <v>Platinum - No CH</v>
          </cell>
          <cell r="K78">
            <v>0</v>
          </cell>
        </row>
        <row r="79">
          <cell r="C79">
            <v>3646</v>
          </cell>
          <cell r="D79" t="str">
            <v>Core</v>
          </cell>
          <cell r="E79" t="str">
            <v>Platinum</v>
          </cell>
          <cell r="F79" t="str">
            <v>Platinum</v>
          </cell>
          <cell r="G79" t="str">
            <v>Core</v>
          </cell>
          <cell r="H79" t="str">
            <v>SG_01_01 Sun Glass Hut_Platinum_OWNED</v>
          </cell>
          <cell r="I79" t="str">
            <v>0000003646 Northridge Fashion Center</v>
          </cell>
          <cell r="J79" t="str">
            <v>Platinum - No CH</v>
          </cell>
          <cell r="K79">
            <v>0</v>
          </cell>
        </row>
        <row r="80">
          <cell r="C80">
            <v>3652</v>
          </cell>
          <cell r="D80" t="str">
            <v>Core</v>
          </cell>
          <cell r="E80" t="str">
            <v>Platinum</v>
          </cell>
          <cell r="F80" t="str">
            <v>Platinum</v>
          </cell>
          <cell r="G80" t="str">
            <v>Core</v>
          </cell>
          <cell r="H80" t="str">
            <v>SG_01_01 Sun Glass Hut_Platinum_OWNED</v>
          </cell>
          <cell r="I80" t="str">
            <v>0000003652 The Westchester</v>
          </cell>
          <cell r="J80" t="str">
            <v>Platinum - No CH</v>
          </cell>
          <cell r="K80">
            <v>0</v>
          </cell>
        </row>
        <row r="81">
          <cell r="C81">
            <v>3682</v>
          </cell>
          <cell r="D81" t="str">
            <v>Core</v>
          </cell>
          <cell r="E81" t="str">
            <v>Platinum</v>
          </cell>
          <cell r="F81" t="str">
            <v>Platinum</v>
          </cell>
          <cell r="G81" t="str">
            <v>Core</v>
          </cell>
          <cell r="H81" t="str">
            <v>SG_01_01 Sun Glass Hut_Platinum_OWNED</v>
          </cell>
          <cell r="I81" t="str">
            <v>0000003682 Palladium at CityPlace</v>
          </cell>
          <cell r="J81" t="str">
            <v>Platinum - CH</v>
          </cell>
          <cell r="K81">
            <v>0</v>
          </cell>
        </row>
        <row r="82">
          <cell r="C82">
            <v>3699</v>
          </cell>
          <cell r="D82" t="str">
            <v>Core</v>
          </cell>
          <cell r="E82" t="str">
            <v>Platinum</v>
          </cell>
          <cell r="F82" t="str">
            <v>Platinum</v>
          </cell>
          <cell r="G82" t="str">
            <v>Core</v>
          </cell>
          <cell r="H82" t="str">
            <v>SG_01_01 Sun Glass Hut_Platinum_OWNED</v>
          </cell>
          <cell r="I82" t="str">
            <v>0000003699 El San Juan Hotel and Casino</v>
          </cell>
          <cell r="J82" t="str">
            <v>Platinum - No CH</v>
          </cell>
          <cell r="K82">
            <v>0</v>
          </cell>
        </row>
        <row r="83">
          <cell r="C83">
            <v>3705</v>
          </cell>
          <cell r="D83" t="str">
            <v>Core</v>
          </cell>
          <cell r="E83" t="str">
            <v>Platinum</v>
          </cell>
          <cell r="F83" t="str">
            <v>Platinum</v>
          </cell>
          <cell r="G83" t="str">
            <v>Core</v>
          </cell>
          <cell r="H83" t="str">
            <v>SG_01_01 Sun Glass Hut_Platinum_OWNED</v>
          </cell>
          <cell r="I83" t="str">
            <v>0000003705 Fashion Square</v>
          </cell>
          <cell r="J83" t="str">
            <v>Platinum - No CH</v>
          </cell>
          <cell r="K83">
            <v>0</v>
          </cell>
        </row>
        <row r="84">
          <cell r="C84">
            <v>3710</v>
          </cell>
          <cell r="D84" t="str">
            <v>Core</v>
          </cell>
          <cell r="E84" t="str">
            <v>Platinum</v>
          </cell>
          <cell r="F84" t="str">
            <v>Platinum</v>
          </cell>
          <cell r="G84" t="str">
            <v>Core</v>
          </cell>
          <cell r="H84" t="str">
            <v>SG_01_01 Sun Glass Hut_Platinum_OWNED</v>
          </cell>
          <cell r="I84" t="str">
            <v>0000003710 The Gardens Mall</v>
          </cell>
          <cell r="J84" t="str">
            <v>Platinum - CH</v>
          </cell>
          <cell r="K84">
            <v>0</v>
          </cell>
        </row>
        <row r="85">
          <cell r="C85">
            <v>3717</v>
          </cell>
          <cell r="D85" t="str">
            <v>Core</v>
          </cell>
          <cell r="E85" t="str">
            <v>Platinum</v>
          </cell>
          <cell r="F85" t="str">
            <v>Platinum</v>
          </cell>
          <cell r="G85" t="str">
            <v>Core</v>
          </cell>
          <cell r="H85" t="str">
            <v>SG_01_01 Sun Glass Hut_Platinum_OWNED</v>
          </cell>
          <cell r="I85" t="str">
            <v>0000003717 Towson Town Center</v>
          </cell>
          <cell r="J85" t="str">
            <v>Platinum - CH</v>
          </cell>
          <cell r="K85">
            <v>0</v>
          </cell>
        </row>
        <row r="86">
          <cell r="C86">
            <v>3729</v>
          </cell>
          <cell r="D86" t="str">
            <v>Core</v>
          </cell>
          <cell r="E86" t="str">
            <v>Platinum</v>
          </cell>
          <cell r="F86" t="str">
            <v>Platinum</v>
          </cell>
          <cell r="G86" t="str">
            <v>Core</v>
          </cell>
          <cell r="H86" t="str">
            <v>SG_01_01 Sun Glass Hut_Platinum_OWNED</v>
          </cell>
          <cell r="I86" t="str">
            <v>0000003729 Park Meadows Mall</v>
          </cell>
          <cell r="J86" t="str">
            <v>Platinum - No CH</v>
          </cell>
          <cell r="K86">
            <v>0</v>
          </cell>
        </row>
        <row r="87">
          <cell r="C87">
            <v>3731</v>
          </cell>
          <cell r="D87" t="str">
            <v>Core</v>
          </cell>
          <cell r="E87" t="str">
            <v>Platinum</v>
          </cell>
          <cell r="F87" t="str">
            <v>Platinum</v>
          </cell>
          <cell r="G87" t="str">
            <v>Core</v>
          </cell>
          <cell r="H87" t="str">
            <v>SG_01_01 Sun Glass Hut_Platinum_OWNED</v>
          </cell>
          <cell r="I87" t="str">
            <v>0000003731 Staten Island Mall</v>
          </cell>
          <cell r="J87" t="str">
            <v>Platinum - No CH</v>
          </cell>
          <cell r="K87">
            <v>0</v>
          </cell>
        </row>
        <row r="88">
          <cell r="C88">
            <v>3740</v>
          </cell>
          <cell r="D88" t="str">
            <v>Core</v>
          </cell>
          <cell r="E88" t="str">
            <v>Platinum</v>
          </cell>
          <cell r="F88" t="str">
            <v>Platinum</v>
          </cell>
          <cell r="G88" t="str">
            <v>Core</v>
          </cell>
          <cell r="H88" t="str">
            <v>SG_01_01 Sun Glass Hut_Platinum_OWNED</v>
          </cell>
          <cell r="I88" t="str">
            <v>0000003740 Oakbrook Center</v>
          </cell>
          <cell r="J88" t="str">
            <v>Platinum - No CH</v>
          </cell>
          <cell r="K88">
            <v>0</v>
          </cell>
        </row>
        <row r="89">
          <cell r="C89">
            <v>3750</v>
          </cell>
          <cell r="D89" t="str">
            <v>Core</v>
          </cell>
          <cell r="E89" t="str">
            <v>Platinum</v>
          </cell>
          <cell r="F89" t="str">
            <v>Platinum</v>
          </cell>
          <cell r="G89" t="str">
            <v>Core</v>
          </cell>
          <cell r="H89" t="str">
            <v>SG_01_01 Sun Glass Hut_Platinum_OWNED</v>
          </cell>
          <cell r="I89" t="str">
            <v>0000003750 W 57 St</v>
          </cell>
          <cell r="J89" t="str">
            <v>Platinum - No CH</v>
          </cell>
          <cell r="K89" t="str">
            <v>Top Tier</v>
          </cell>
        </row>
        <row r="90">
          <cell r="C90">
            <v>3926</v>
          </cell>
          <cell r="D90" t="str">
            <v>Core</v>
          </cell>
          <cell r="E90" t="str">
            <v>Platinum</v>
          </cell>
          <cell r="F90" t="str">
            <v>Platinum</v>
          </cell>
          <cell r="G90" t="str">
            <v>Core</v>
          </cell>
          <cell r="H90" t="str">
            <v>SG_01_01 Sun Glass Hut_Platinum_OWNED</v>
          </cell>
          <cell r="I90" t="str">
            <v>0000003926 Stony Point Fashion Park</v>
          </cell>
          <cell r="J90" t="str">
            <v>Platinum - CH</v>
          </cell>
          <cell r="K90">
            <v>0</v>
          </cell>
        </row>
        <row r="91">
          <cell r="C91">
            <v>3927</v>
          </cell>
          <cell r="D91" t="str">
            <v>Core</v>
          </cell>
          <cell r="E91" t="str">
            <v>Platinum</v>
          </cell>
          <cell r="F91" t="str">
            <v>Platinum</v>
          </cell>
          <cell r="G91" t="str">
            <v>Core</v>
          </cell>
          <cell r="H91" t="str">
            <v>SG_01_01 Sun Glass Hut_Platinum_OWNED</v>
          </cell>
          <cell r="I91" t="str">
            <v>0000003927 University Village</v>
          </cell>
          <cell r="J91" t="str">
            <v>Platinum - No CH</v>
          </cell>
          <cell r="K91">
            <v>0</v>
          </cell>
        </row>
        <row r="92">
          <cell r="C92">
            <v>3945</v>
          </cell>
          <cell r="D92" t="str">
            <v>Core</v>
          </cell>
          <cell r="E92" t="str">
            <v>Platinum</v>
          </cell>
          <cell r="F92" t="str">
            <v>Platinum</v>
          </cell>
          <cell r="G92" t="str">
            <v>Core</v>
          </cell>
          <cell r="H92" t="str">
            <v>SG_01_01 Sun Glass Hut_Platinum_OWNED</v>
          </cell>
          <cell r="I92" t="str">
            <v>0000003945 The Mall At Millenia</v>
          </cell>
          <cell r="J92" t="str">
            <v>Platinum - CH</v>
          </cell>
          <cell r="K92" t="str">
            <v>Top Tier</v>
          </cell>
        </row>
        <row r="93">
          <cell r="C93">
            <v>3958</v>
          </cell>
          <cell r="D93" t="str">
            <v>Core</v>
          </cell>
          <cell r="E93" t="str">
            <v>Platinum</v>
          </cell>
          <cell r="F93" t="str">
            <v>Platinum</v>
          </cell>
          <cell r="G93" t="str">
            <v>Core</v>
          </cell>
          <cell r="H93" t="str">
            <v>SG_01_01 Sun Glass Hut_Platinum_OWNED</v>
          </cell>
          <cell r="I93" t="str">
            <v>0000003958 SouthPark</v>
          </cell>
          <cell r="J93" t="str">
            <v>Platinum - No CH</v>
          </cell>
          <cell r="K93">
            <v>0</v>
          </cell>
        </row>
        <row r="94">
          <cell r="C94">
            <v>4001</v>
          </cell>
          <cell r="D94" t="str">
            <v>Core</v>
          </cell>
          <cell r="E94" t="str">
            <v>Platinum</v>
          </cell>
          <cell r="F94" t="str">
            <v>Platinum</v>
          </cell>
          <cell r="G94" t="str">
            <v>Core</v>
          </cell>
          <cell r="H94" t="str">
            <v>SG_01_01 Sun Glass Hut_Platinum_OWNED</v>
          </cell>
          <cell r="I94" t="str">
            <v>0000004001 CSC</v>
          </cell>
          <cell r="J94" t="str">
            <v>Platinum - CH</v>
          </cell>
          <cell r="K94">
            <v>0</v>
          </cell>
        </row>
        <row r="95">
          <cell r="C95">
            <v>4022</v>
          </cell>
          <cell r="D95" t="str">
            <v>Core</v>
          </cell>
          <cell r="E95" t="str">
            <v>Platinum</v>
          </cell>
          <cell r="F95" t="str">
            <v>Platinum</v>
          </cell>
          <cell r="G95" t="str">
            <v>Core</v>
          </cell>
          <cell r="H95" t="str">
            <v>SG_01_01 Sun Glass Hut_Platinum_OWNED</v>
          </cell>
          <cell r="I95" t="str">
            <v>0000004022 N Beverly Drive</v>
          </cell>
          <cell r="J95" t="str">
            <v>Platinum - No CH</v>
          </cell>
          <cell r="K95">
            <v>0</v>
          </cell>
        </row>
        <row r="96">
          <cell r="C96">
            <v>4026</v>
          </cell>
          <cell r="D96" t="str">
            <v>Core</v>
          </cell>
          <cell r="E96" t="str">
            <v>Platinum</v>
          </cell>
          <cell r="F96" t="str">
            <v>Platinum</v>
          </cell>
          <cell r="G96" t="str">
            <v>Core</v>
          </cell>
          <cell r="H96" t="str">
            <v>SG_01_01 Sun Glass Hut_Platinum_OWNED</v>
          </cell>
          <cell r="I96" t="str">
            <v>0000004026 Fashion Show Mall</v>
          </cell>
          <cell r="J96" t="str">
            <v>Platinum - No CH</v>
          </cell>
          <cell r="K96">
            <v>0</v>
          </cell>
        </row>
        <row r="97">
          <cell r="C97">
            <v>4029</v>
          </cell>
          <cell r="D97" t="str">
            <v>Core</v>
          </cell>
          <cell r="E97" t="str">
            <v>Platinum</v>
          </cell>
          <cell r="F97" t="str">
            <v>Platinum</v>
          </cell>
          <cell r="G97" t="str">
            <v>Core</v>
          </cell>
          <cell r="H97" t="str">
            <v>SG_01_01 Sun Glass Hut_Platinum_OWNED</v>
          </cell>
          <cell r="I97" t="str">
            <v>0000004029 Cherry Creek Shopping Center</v>
          </cell>
          <cell r="J97" t="str">
            <v>Platinum - No CH</v>
          </cell>
          <cell r="K97">
            <v>0</v>
          </cell>
        </row>
        <row r="98">
          <cell r="C98">
            <v>4030</v>
          </cell>
          <cell r="D98" t="str">
            <v>Core</v>
          </cell>
          <cell r="E98" t="str">
            <v>Platinum</v>
          </cell>
          <cell r="F98" t="str">
            <v>Platinum</v>
          </cell>
          <cell r="G98" t="str">
            <v>Core</v>
          </cell>
          <cell r="H98" t="str">
            <v>SG_01_01 Sun Glass Hut_Platinum_OWNED</v>
          </cell>
          <cell r="I98" t="str">
            <v>0000004030 Stamford Town Center</v>
          </cell>
          <cell r="J98" t="str">
            <v>Platinum - No CH</v>
          </cell>
          <cell r="K98">
            <v>0</v>
          </cell>
        </row>
        <row r="99">
          <cell r="C99">
            <v>4036</v>
          </cell>
          <cell r="D99" t="str">
            <v>Core</v>
          </cell>
          <cell r="E99" t="str">
            <v>Platinum</v>
          </cell>
          <cell r="F99" t="str">
            <v>Platinum</v>
          </cell>
          <cell r="G99" t="str">
            <v>Core</v>
          </cell>
          <cell r="H99" t="str">
            <v>SG_01_01 Sun Glass Hut_Platinum_OWNED</v>
          </cell>
          <cell r="I99" t="str">
            <v>0000004036 Beachwood Mall</v>
          </cell>
          <cell r="J99" t="str">
            <v>Platinum - No CH</v>
          </cell>
          <cell r="K99">
            <v>0</v>
          </cell>
        </row>
        <row r="100">
          <cell r="C100">
            <v>4037</v>
          </cell>
          <cell r="D100" t="str">
            <v>Core</v>
          </cell>
          <cell r="E100" t="str">
            <v>Platinum</v>
          </cell>
          <cell r="F100" t="str">
            <v>Platinum</v>
          </cell>
          <cell r="G100" t="str">
            <v>Core</v>
          </cell>
          <cell r="H100" t="str">
            <v>SG_01_01 Sun Glass Hut_Platinum_OWNED</v>
          </cell>
          <cell r="I100" t="str">
            <v>0000004037 Queens Center</v>
          </cell>
          <cell r="J100" t="str">
            <v>Platinum - No CH</v>
          </cell>
          <cell r="K100">
            <v>0</v>
          </cell>
        </row>
        <row r="101">
          <cell r="C101">
            <v>4042</v>
          </cell>
          <cell r="D101" t="str">
            <v>Core</v>
          </cell>
          <cell r="E101" t="str">
            <v>Platinum</v>
          </cell>
          <cell r="F101" t="str">
            <v>Platinum</v>
          </cell>
          <cell r="G101" t="str">
            <v>Core</v>
          </cell>
          <cell r="H101" t="str">
            <v>SG_01_01 Sun Glass Hut_Platinum_OWNED</v>
          </cell>
          <cell r="I101" t="str">
            <v>0000004042 Prudential Center</v>
          </cell>
          <cell r="J101" t="str">
            <v>Platinum - CH</v>
          </cell>
          <cell r="K101" t="str">
            <v>Top Tier</v>
          </cell>
        </row>
        <row r="102">
          <cell r="C102">
            <v>4045</v>
          </cell>
          <cell r="D102" t="str">
            <v>Core</v>
          </cell>
          <cell r="E102" t="str">
            <v>Platinum</v>
          </cell>
          <cell r="F102" t="str">
            <v>Platinum</v>
          </cell>
          <cell r="G102" t="str">
            <v>Core</v>
          </cell>
          <cell r="H102" t="str">
            <v>SG_01_01 Sun Glass Hut_Platinum_OWNED</v>
          </cell>
          <cell r="I102" t="str">
            <v>0000004045 Whalers Village</v>
          </cell>
          <cell r="J102" t="str">
            <v>Platinum - CH</v>
          </cell>
          <cell r="K102" t="str">
            <v>Top Tier</v>
          </cell>
        </row>
        <row r="103">
          <cell r="C103">
            <v>4047</v>
          </cell>
          <cell r="D103" t="str">
            <v>Core</v>
          </cell>
          <cell r="E103" t="str">
            <v>Platinum</v>
          </cell>
          <cell r="F103" t="str">
            <v>Platinum</v>
          </cell>
          <cell r="G103" t="str">
            <v>Core</v>
          </cell>
          <cell r="H103" t="str">
            <v>SG_01_01 Sun Glass Hut_Platinum_OWNED</v>
          </cell>
          <cell r="I103" t="str">
            <v>0000004047 Royal Hawaiian Center Building</v>
          </cell>
          <cell r="J103" t="str">
            <v>Platinum - No CH</v>
          </cell>
          <cell r="K103">
            <v>0</v>
          </cell>
        </row>
        <row r="104">
          <cell r="C104">
            <v>4063</v>
          </cell>
          <cell r="D104" t="str">
            <v>Core</v>
          </cell>
          <cell r="E104" t="str">
            <v>Platinum</v>
          </cell>
          <cell r="F104" t="str">
            <v>Platinum</v>
          </cell>
          <cell r="G104" t="str">
            <v>Core</v>
          </cell>
          <cell r="H104" t="str">
            <v>SG_01_01 Sun Glass Hut_Platinum_OWNED</v>
          </cell>
          <cell r="I104" t="str">
            <v>0000004063 Town Center at Boca Raton</v>
          </cell>
          <cell r="J104" t="str">
            <v>Platinum - No CH</v>
          </cell>
          <cell r="K104">
            <v>0</v>
          </cell>
        </row>
        <row r="105">
          <cell r="C105">
            <v>4067</v>
          </cell>
          <cell r="D105" t="str">
            <v>Core</v>
          </cell>
          <cell r="E105" t="str">
            <v>Platinum</v>
          </cell>
          <cell r="F105" t="str">
            <v>Platinum</v>
          </cell>
          <cell r="G105" t="str">
            <v>Core</v>
          </cell>
          <cell r="H105" t="str">
            <v>SG_01_01 Sun Glass Hut_Platinum_OWNED</v>
          </cell>
          <cell r="I105" t="str">
            <v>0000004067 The Florida Mall</v>
          </cell>
          <cell r="J105" t="str">
            <v>Platinum - CH</v>
          </cell>
          <cell r="K105">
            <v>0</v>
          </cell>
        </row>
        <row r="106">
          <cell r="C106">
            <v>4075</v>
          </cell>
          <cell r="D106" t="str">
            <v>Core</v>
          </cell>
          <cell r="E106" t="str">
            <v>Platinum</v>
          </cell>
          <cell r="F106" t="str">
            <v>Platinum</v>
          </cell>
          <cell r="G106" t="str">
            <v>Core</v>
          </cell>
          <cell r="H106" t="str">
            <v>SG_01_01 Sun Glass Hut_Platinum_OWNED</v>
          </cell>
          <cell r="I106" t="str">
            <v>0000004075 South Shore Plaza</v>
          </cell>
          <cell r="J106" t="str">
            <v>Platinum - No CH</v>
          </cell>
          <cell r="K106">
            <v>0</v>
          </cell>
        </row>
        <row r="107">
          <cell r="C107">
            <v>4088</v>
          </cell>
          <cell r="D107" t="str">
            <v>Core</v>
          </cell>
          <cell r="E107" t="str">
            <v>Platinum</v>
          </cell>
          <cell r="F107" t="str">
            <v>Platinum</v>
          </cell>
          <cell r="G107" t="str">
            <v>Core</v>
          </cell>
          <cell r="H107" t="str">
            <v>SG_01_01 Sun Glass Hut_Platinum_OWNED</v>
          </cell>
          <cell r="I107" t="str">
            <v>0000004088 Rideau Center</v>
          </cell>
          <cell r="J107" t="str">
            <v>Platinum - No CH</v>
          </cell>
          <cell r="K107">
            <v>0</v>
          </cell>
        </row>
        <row r="108">
          <cell r="C108">
            <v>4105</v>
          </cell>
          <cell r="D108" t="str">
            <v>Core</v>
          </cell>
          <cell r="E108" t="str">
            <v>Platinum</v>
          </cell>
          <cell r="F108" t="str">
            <v>Platinum</v>
          </cell>
          <cell r="G108" t="str">
            <v>Core</v>
          </cell>
          <cell r="H108" t="str">
            <v>SG_01_01 Sun Glass Hut_Platinum_OWNED</v>
          </cell>
          <cell r="I108" t="str">
            <v>0000004105 Fashion Centre at Pentagon Cit</v>
          </cell>
          <cell r="J108" t="str">
            <v>Platinum - No CH</v>
          </cell>
          <cell r="K108">
            <v>0</v>
          </cell>
        </row>
        <row r="109">
          <cell r="C109">
            <v>4119</v>
          </cell>
          <cell r="D109" t="str">
            <v>Core</v>
          </cell>
          <cell r="E109" t="str">
            <v>Platinum</v>
          </cell>
          <cell r="F109" t="str">
            <v>Platinum</v>
          </cell>
          <cell r="G109" t="str">
            <v>Core</v>
          </cell>
          <cell r="H109" t="str">
            <v>SG_01_01 Sun Glass Hut_Platinum_OWNED</v>
          </cell>
          <cell r="I109" t="str">
            <v>0000004119 Tucson Mall</v>
          </cell>
          <cell r="J109" t="str">
            <v>Platinum - No CH</v>
          </cell>
          <cell r="K109">
            <v>0</v>
          </cell>
        </row>
        <row r="110">
          <cell r="C110">
            <v>4124</v>
          </cell>
          <cell r="D110" t="str">
            <v>Core</v>
          </cell>
          <cell r="E110" t="str">
            <v>Platinum</v>
          </cell>
          <cell r="F110" t="str">
            <v>Platinum</v>
          </cell>
          <cell r="G110" t="str">
            <v>Core</v>
          </cell>
          <cell r="H110" t="str">
            <v>SG_01_01 Sun Glass Hut_Platinum_OWNED</v>
          </cell>
          <cell r="I110" t="str">
            <v>0000004124 The Mall at Green Hills</v>
          </cell>
          <cell r="J110" t="str">
            <v>Platinum - No CH</v>
          </cell>
          <cell r="K110">
            <v>0</v>
          </cell>
        </row>
        <row r="111">
          <cell r="C111">
            <v>4141</v>
          </cell>
          <cell r="D111" t="str">
            <v>Core</v>
          </cell>
          <cell r="E111" t="str">
            <v>Platinum</v>
          </cell>
          <cell r="F111" t="str">
            <v>Platinum</v>
          </cell>
          <cell r="G111" t="str">
            <v>Core</v>
          </cell>
          <cell r="H111" t="str">
            <v>SG_01_01 Sun Glass Hut_Platinum_OWNED</v>
          </cell>
          <cell r="I111" t="str">
            <v>0000004141 NorthPark Center</v>
          </cell>
          <cell r="J111" t="str">
            <v>Platinum - No CH</v>
          </cell>
          <cell r="K111" t="str">
            <v>Top Tier</v>
          </cell>
        </row>
        <row r="112">
          <cell r="C112">
            <v>4153</v>
          </cell>
          <cell r="D112" t="str">
            <v>Core</v>
          </cell>
          <cell r="E112" t="str">
            <v>Platinum</v>
          </cell>
          <cell r="F112" t="str">
            <v>Platinum</v>
          </cell>
          <cell r="G112" t="str">
            <v>Core</v>
          </cell>
          <cell r="H112" t="str">
            <v>SG_01_01 Sun Glass Hut_Platinum_OWNED</v>
          </cell>
          <cell r="I112" t="str">
            <v>0000004153 Woodland Hills Mall</v>
          </cell>
          <cell r="J112" t="str">
            <v>Platinum - No CH</v>
          </cell>
          <cell r="K112">
            <v>0</v>
          </cell>
        </row>
        <row r="113">
          <cell r="C113">
            <v>4159</v>
          </cell>
          <cell r="D113" t="str">
            <v>Core</v>
          </cell>
          <cell r="E113" t="str">
            <v>Platinum</v>
          </cell>
          <cell r="F113" t="str">
            <v>Platinum</v>
          </cell>
          <cell r="G113" t="str">
            <v>Core</v>
          </cell>
          <cell r="H113" t="str">
            <v>SG_01_01 Sun Glass Hut_Platinum_OWNED</v>
          </cell>
          <cell r="I113" t="str">
            <v>0000004159 Baybrook Mall</v>
          </cell>
          <cell r="J113" t="str">
            <v>Platinum - No CH</v>
          </cell>
          <cell r="K113">
            <v>0</v>
          </cell>
        </row>
        <row r="114">
          <cell r="C114">
            <v>4163</v>
          </cell>
          <cell r="D114" t="str">
            <v>Core</v>
          </cell>
          <cell r="E114" t="str">
            <v>Platinum</v>
          </cell>
          <cell r="F114" t="str">
            <v>Platinum</v>
          </cell>
          <cell r="G114" t="str">
            <v>Core</v>
          </cell>
          <cell r="H114" t="str">
            <v>SG_01_01 Sun Glass Hut_Platinum_OWNED</v>
          </cell>
          <cell r="I114" t="str">
            <v>0000004163 The Mall at Short Hills</v>
          </cell>
          <cell r="J114" t="str">
            <v>Platinum - CH</v>
          </cell>
          <cell r="K114" t="str">
            <v>Top Tier</v>
          </cell>
        </row>
        <row r="115">
          <cell r="C115">
            <v>4164</v>
          </cell>
          <cell r="D115" t="str">
            <v>Core</v>
          </cell>
          <cell r="E115" t="str">
            <v>Platinum</v>
          </cell>
          <cell r="F115" t="str">
            <v>Platinum</v>
          </cell>
          <cell r="G115" t="str">
            <v>Core</v>
          </cell>
          <cell r="H115" t="str">
            <v>SG_01_01 Sun Glass Hut_Platinum_OWNED</v>
          </cell>
          <cell r="I115" t="str">
            <v>0000004164 Woodbridge Center</v>
          </cell>
          <cell r="J115" t="str">
            <v>Platinum - No CH</v>
          </cell>
          <cell r="K115">
            <v>0</v>
          </cell>
        </row>
        <row r="116">
          <cell r="C116">
            <v>4169</v>
          </cell>
          <cell r="D116" t="str">
            <v>Core</v>
          </cell>
          <cell r="E116" t="str">
            <v>Platinum</v>
          </cell>
          <cell r="F116" t="str">
            <v>Platinum</v>
          </cell>
          <cell r="G116" t="str">
            <v>Core</v>
          </cell>
          <cell r="H116" t="str">
            <v>SG_01_01 Sun Glass Hut_Platinum_OWNED</v>
          </cell>
          <cell r="I116" t="str">
            <v>0000004169 Montclair Plaza</v>
          </cell>
          <cell r="J116" t="str">
            <v>Platinum - No CH</v>
          </cell>
          <cell r="K116">
            <v>0</v>
          </cell>
        </row>
        <row r="117">
          <cell r="C117">
            <v>4178</v>
          </cell>
          <cell r="D117" t="str">
            <v>Core</v>
          </cell>
          <cell r="E117" t="str">
            <v>Platinum</v>
          </cell>
          <cell r="F117" t="str">
            <v>Platinum</v>
          </cell>
          <cell r="G117" t="str">
            <v>Core</v>
          </cell>
          <cell r="H117" t="str">
            <v>SG_01_01 Sun Glass Hut_Platinum_OWNED</v>
          </cell>
          <cell r="I117" t="str">
            <v>0000004178 The Mall In Columbia</v>
          </cell>
          <cell r="J117" t="str">
            <v>Platinum - CH</v>
          </cell>
          <cell r="K117">
            <v>0</v>
          </cell>
        </row>
        <row r="118">
          <cell r="C118">
            <v>4182</v>
          </cell>
          <cell r="D118" t="str">
            <v>Core</v>
          </cell>
          <cell r="E118" t="str">
            <v>Platinum</v>
          </cell>
          <cell r="F118" t="str">
            <v>Platinum</v>
          </cell>
          <cell r="G118" t="str">
            <v>Core</v>
          </cell>
          <cell r="H118" t="str">
            <v>SG_01_01 Sun Glass Hut_Platinum_OWNED</v>
          </cell>
          <cell r="I118" t="str">
            <v>0000004182 Houston Galleria</v>
          </cell>
          <cell r="J118" t="str">
            <v>Platinum - CH</v>
          </cell>
          <cell r="K118" t="str">
            <v>Top Tier</v>
          </cell>
        </row>
        <row r="119">
          <cell r="C119">
            <v>4183</v>
          </cell>
          <cell r="D119" t="str">
            <v>Core</v>
          </cell>
          <cell r="E119" t="str">
            <v>Platinum</v>
          </cell>
          <cell r="F119" t="str">
            <v>Platinum</v>
          </cell>
          <cell r="G119" t="str">
            <v>Core</v>
          </cell>
          <cell r="H119" t="str">
            <v>SG_01_01 Sun Glass Hut_Platinum_OWNED</v>
          </cell>
          <cell r="I119" t="str">
            <v>0000004183 The Court At King Of Prussia</v>
          </cell>
          <cell r="J119" t="str">
            <v>Platinum - No CH</v>
          </cell>
          <cell r="K119">
            <v>0</v>
          </cell>
        </row>
        <row r="120">
          <cell r="C120">
            <v>4188</v>
          </cell>
          <cell r="D120" t="str">
            <v>Core</v>
          </cell>
          <cell r="E120" t="str">
            <v>Platinum</v>
          </cell>
          <cell r="F120" t="str">
            <v>Platinum</v>
          </cell>
          <cell r="G120" t="str">
            <v>Core</v>
          </cell>
          <cell r="H120" t="str">
            <v>SG_01_01 Sun Glass Hut_Platinum_OWNED</v>
          </cell>
          <cell r="I120" t="str">
            <v>0000004188 Valley Fair Mall</v>
          </cell>
          <cell r="J120" t="str">
            <v>Platinum - CH</v>
          </cell>
          <cell r="K120">
            <v>0</v>
          </cell>
        </row>
        <row r="121">
          <cell r="C121">
            <v>4199</v>
          </cell>
          <cell r="D121" t="str">
            <v>Core</v>
          </cell>
          <cell r="E121" t="str">
            <v>Platinum</v>
          </cell>
          <cell r="F121" t="str">
            <v>Platinum</v>
          </cell>
          <cell r="G121" t="str">
            <v>Core</v>
          </cell>
          <cell r="H121" t="str">
            <v>SG_01_01 Sun Glass Hut_Platinum_OWNED</v>
          </cell>
          <cell r="I121" t="str">
            <v>0000004199 The Galleria at Fort Lauderdal</v>
          </cell>
          <cell r="J121" t="str">
            <v>Platinum - CH</v>
          </cell>
          <cell r="K121">
            <v>0</v>
          </cell>
        </row>
        <row r="122">
          <cell r="C122">
            <v>4201</v>
          </cell>
          <cell r="D122" t="str">
            <v>Core</v>
          </cell>
          <cell r="E122" t="str">
            <v>Platinum</v>
          </cell>
          <cell r="F122" t="str">
            <v>Platinum</v>
          </cell>
          <cell r="G122" t="str">
            <v>Core</v>
          </cell>
          <cell r="H122" t="str">
            <v>SG_01_01 Sun Glass Hut_Platinum_OWNED</v>
          </cell>
          <cell r="I122" t="str">
            <v>0000004201 Stoneridge Shopping Center</v>
          </cell>
          <cell r="J122" t="str">
            <v>Platinum - No CH</v>
          </cell>
          <cell r="K122">
            <v>0</v>
          </cell>
        </row>
        <row r="123">
          <cell r="C123">
            <v>4211</v>
          </cell>
          <cell r="D123" t="str">
            <v>Core</v>
          </cell>
          <cell r="E123" t="str">
            <v>Platinum</v>
          </cell>
          <cell r="F123" t="str">
            <v>Platinum</v>
          </cell>
          <cell r="G123" t="str">
            <v>Core</v>
          </cell>
          <cell r="H123" t="str">
            <v>SG_01_01 Sun Glass Hut_Platinum_OWNED</v>
          </cell>
          <cell r="I123" t="str">
            <v>0000004211 Bayside Marketplace</v>
          </cell>
          <cell r="J123" t="str">
            <v>Platinum - No CH</v>
          </cell>
          <cell r="K123">
            <v>0</v>
          </cell>
        </row>
        <row r="124">
          <cell r="C124">
            <v>4227</v>
          </cell>
          <cell r="D124" t="str">
            <v>Core</v>
          </cell>
          <cell r="E124" t="str">
            <v>Platinum</v>
          </cell>
          <cell r="F124" t="str">
            <v>Platinum</v>
          </cell>
          <cell r="G124" t="str">
            <v>Core</v>
          </cell>
          <cell r="H124" t="str">
            <v>SG_01_01 Sun Glass Hut_Platinum_OWNED</v>
          </cell>
          <cell r="I124" t="str">
            <v>0000004227 Mayfair Mall</v>
          </cell>
          <cell r="J124" t="str">
            <v>Platinum - CH</v>
          </cell>
          <cell r="K124">
            <v>0</v>
          </cell>
        </row>
        <row r="125">
          <cell r="C125">
            <v>4229</v>
          </cell>
          <cell r="D125" t="str">
            <v>Core</v>
          </cell>
          <cell r="E125" t="str">
            <v>Platinum</v>
          </cell>
          <cell r="F125" t="str">
            <v>Platinum</v>
          </cell>
          <cell r="G125" t="str">
            <v>Core</v>
          </cell>
          <cell r="H125" t="str">
            <v>SG_01_01 Sun Glass Hut_Platinum_OWNED</v>
          </cell>
          <cell r="I125" t="str">
            <v>0000004229 The Shops at Charleston Place</v>
          </cell>
          <cell r="J125" t="str">
            <v>Platinum - CH</v>
          </cell>
          <cell r="K125">
            <v>0</v>
          </cell>
        </row>
        <row r="126">
          <cell r="C126">
            <v>4236</v>
          </cell>
          <cell r="D126" t="str">
            <v>Core</v>
          </cell>
          <cell r="E126" t="str">
            <v>Platinum</v>
          </cell>
          <cell r="F126" t="str">
            <v>Platinum</v>
          </cell>
          <cell r="G126" t="str">
            <v>Core</v>
          </cell>
          <cell r="H126" t="str">
            <v>SG_01_01 Sun Glass Hut_Platinum_OWNED</v>
          </cell>
          <cell r="I126" t="str">
            <v>0000004236 Monmouth Mall</v>
          </cell>
          <cell r="J126" t="str">
            <v>Platinum - No CH</v>
          </cell>
          <cell r="K126">
            <v>0</v>
          </cell>
        </row>
        <row r="127">
          <cell r="C127">
            <v>4261</v>
          </cell>
          <cell r="D127" t="str">
            <v>Core</v>
          </cell>
          <cell r="E127" t="str">
            <v>Platinum</v>
          </cell>
          <cell r="F127" t="str">
            <v>Platinum</v>
          </cell>
          <cell r="G127" t="str">
            <v>Core</v>
          </cell>
          <cell r="H127" t="str">
            <v>SG_01_01 Sun Glass Hut_Platinum_OWNED</v>
          </cell>
          <cell r="I127" t="str">
            <v>0000004261 Bridgewater Commons</v>
          </cell>
          <cell r="J127" t="str">
            <v>Platinum - CH</v>
          </cell>
          <cell r="K127">
            <v>0</v>
          </cell>
        </row>
        <row r="128">
          <cell r="C128">
            <v>4276</v>
          </cell>
          <cell r="D128" t="str">
            <v>Core</v>
          </cell>
          <cell r="E128" t="str">
            <v>Platinum</v>
          </cell>
          <cell r="F128" t="str">
            <v>Platinum</v>
          </cell>
          <cell r="G128" t="str">
            <v>Core</v>
          </cell>
          <cell r="H128" t="str">
            <v>SG_01_01 Sun Glass Hut_Platinum_OWNED</v>
          </cell>
          <cell r="I128" t="str">
            <v>0000004276 Southcentre Mall</v>
          </cell>
          <cell r="J128" t="str">
            <v>Platinum - No CH</v>
          </cell>
          <cell r="K128">
            <v>0</v>
          </cell>
        </row>
        <row r="129">
          <cell r="C129">
            <v>4287</v>
          </cell>
          <cell r="D129" t="str">
            <v>Core</v>
          </cell>
          <cell r="E129" t="str">
            <v>Platinum</v>
          </cell>
          <cell r="F129" t="str">
            <v>Platinum</v>
          </cell>
          <cell r="G129" t="str">
            <v>Core</v>
          </cell>
          <cell r="H129" t="str">
            <v>SG_01_01 Sun Glass Hut_Platinum_OWNED</v>
          </cell>
          <cell r="I129" t="str">
            <v>0000004287 St Armands Cir</v>
          </cell>
          <cell r="J129" t="str">
            <v>Platinum - No CH</v>
          </cell>
          <cell r="K129">
            <v>0</v>
          </cell>
        </row>
        <row r="130">
          <cell r="C130">
            <v>4297</v>
          </cell>
          <cell r="D130" t="str">
            <v>Core</v>
          </cell>
          <cell r="E130" t="str">
            <v>Platinum</v>
          </cell>
          <cell r="F130" t="str">
            <v>Platinum</v>
          </cell>
          <cell r="G130" t="str">
            <v>Core</v>
          </cell>
          <cell r="H130" t="str">
            <v>SG_01_01 Sun Glass Hut_Platinum_OWNED</v>
          </cell>
          <cell r="I130" t="str">
            <v>0000004297 Beverly Center</v>
          </cell>
          <cell r="J130" t="str">
            <v>Platinum - No CH</v>
          </cell>
          <cell r="K130">
            <v>0</v>
          </cell>
        </row>
        <row r="131">
          <cell r="C131">
            <v>4301</v>
          </cell>
          <cell r="D131" t="str">
            <v>Core</v>
          </cell>
          <cell r="E131" t="str">
            <v>Platinum</v>
          </cell>
          <cell r="F131" t="str">
            <v>Platinum</v>
          </cell>
          <cell r="G131" t="str">
            <v>Core</v>
          </cell>
          <cell r="H131" t="str">
            <v>SG_01_01 Sun Glass Hut_Platinum_OWNED</v>
          </cell>
          <cell r="I131" t="str">
            <v>0000004301 Stonestown Galleria</v>
          </cell>
          <cell r="J131" t="str">
            <v>Platinum - CH</v>
          </cell>
          <cell r="K131">
            <v>0</v>
          </cell>
        </row>
        <row r="132">
          <cell r="C132">
            <v>4304</v>
          </cell>
          <cell r="D132" t="str">
            <v>Core</v>
          </cell>
          <cell r="E132" t="str">
            <v>Platinum</v>
          </cell>
          <cell r="F132" t="str">
            <v>Platinum</v>
          </cell>
          <cell r="G132" t="str">
            <v>Core</v>
          </cell>
          <cell r="H132" t="str">
            <v>SG_01_01 Sun Glass Hut_Platinum_OWNED</v>
          </cell>
          <cell r="I132" t="str">
            <v>0000004304 Southgate Mall</v>
          </cell>
          <cell r="J132" t="str">
            <v>Platinum - No CH</v>
          </cell>
          <cell r="K132">
            <v>0</v>
          </cell>
        </row>
        <row r="133">
          <cell r="C133">
            <v>4308</v>
          </cell>
          <cell r="D133" t="str">
            <v>Core</v>
          </cell>
          <cell r="E133" t="str">
            <v>Platinum</v>
          </cell>
          <cell r="F133" t="str">
            <v>Platinum</v>
          </cell>
          <cell r="G133" t="str">
            <v>Core</v>
          </cell>
          <cell r="H133" t="str">
            <v>SG_01_01 Sun Glass Hut_Platinum_OWNED</v>
          </cell>
          <cell r="I133" t="str">
            <v>0000004308 Calgary Market Mall</v>
          </cell>
          <cell r="J133" t="str">
            <v>Platinum - No CH</v>
          </cell>
          <cell r="K133">
            <v>0</v>
          </cell>
        </row>
        <row r="134">
          <cell r="C134">
            <v>4312</v>
          </cell>
          <cell r="D134" t="str">
            <v>Core</v>
          </cell>
          <cell r="E134" t="str">
            <v>Platinum</v>
          </cell>
          <cell r="F134" t="str">
            <v>Platinum</v>
          </cell>
          <cell r="G134" t="str">
            <v>Core</v>
          </cell>
          <cell r="H134" t="str">
            <v>SG_01_01 Sun Glass Hut_Platinum_OWNED</v>
          </cell>
          <cell r="I134" t="str">
            <v>0000004312 Burlington Mall</v>
          </cell>
          <cell r="J134" t="str">
            <v>Platinum - No CH</v>
          </cell>
          <cell r="K134">
            <v>0</v>
          </cell>
        </row>
        <row r="135">
          <cell r="C135">
            <v>4317</v>
          </cell>
          <cell r="D135" t="str">
            <v>Core</v>
          </cell>
          <cell r="E135" t="str">
            <v>Platinum</v>
          </cell>
          <cell r="F135" t="str">
            <v>Platinum</v>
          </cell>
          <cell r="G135" t="str">
            <v>Core</v>
          </cell>
          <cell r="H135" t="str">
            <v>SG_01_01 Sun Glass Hut_Platinum_OWNED</v>
          </cell>
          <cell r="I135" t="str">
            <v>0000004317 Fairview Mall</v>
          </cell>
          <cell r="J135" t="str">
            <v>Platinum - No CH</v>
          </cell>
          <cell r="K135">
            <v>0</v>
          </cell>
        </row>
        <row r="136">
          <cell r="C136">
            <v>4331</v>
          </cell>
          <cell r="D136" t="str">
            <v>Core</v>
          </cell>
          <cell r="E136" t="str">
            <v>Platinum</v>
          </cell>
          <cell r="F136" t="str">
            <v>Platinum</v>
          </cell>
          <cell r="G136" t="str">
            <v>Core</v>
          </cell>
          <cell r="H136" t="str">
            <v>SG_01_01 Sun Glass Hut_Platinum_OWNED</v>
          </cell>
          <cell r="I136" t="str">
            <v>0000004331 Chinook Centre</v>
          </cell>
          <cell r="J136" t="str">
            <v>Platinum - No CH</v>
          </cell>
          <cell r="K136" t="str">
            <v>Top Tier</v>
          </cell>
        </row>
        <row r="137">
          <cell r="C137">
            <v>4335</v>
          </cell>
          <cell r="D137" t="str">
            <v>Core</v>
          </cell>
          <cell r="E137" t="str">
            <v>Platinum</v>
          </cell>
          <cell r="F137" t="str">
            <v>Platinum</v>
          </cell>
          <cell r="G137" t="str">
            <v>Core</v>
          </cell>
          <cell r="H137" t="str">
            <v>SG_01_01 Sun Glass Hut_Platinum_OWNED</v>
          </cell>
          <cell r="I137" t="str">
            <v>0000004335 Santa Anita</v>
          </cell>
          <cell r="J137" t="str">
            <v>Platinum - CH</v>
          </cell>
          <cell r="K137">
            <v>0</v>
          </cell>
        </row>
        <row r="138">
          <cell r="C138">
            <v>4336</v>
          </cell>
          <cell r="D138" t="str">
            <v>Core</v>
          </cell>
          <cell r="E138" t="str">
            <v>Platinum</v>
          </cell>
          <cell r="F138" t="str">
            <v>Platinum</v>
          </cell>
          <cell r="G138" t="str">
            <v>Core</v>
          </cell>
          <cell r="H138" t="str">
            <v>SG_01_01 Sun Glass Hut_Platinum_OWNED</v>
          </cell>
          <cell r="I138" t="str">
            <v>0000004336 North Star Mall</v>
          </cell>
          <cell r="J138" t="str">
            <v>Platinum - CH</v>
          </cell>
          <cell r="K138">
            <v>0</v>
          </cell>
        </row>
        <row r="139">
          <cell r="C139">
            <v>4353</v>
          </cell>
          <cell r="D139" t="str">
            <v>Core</v>
          </cell>
          <cell r="E139" t="str">
            <v>Platinum</v>
          </cell>
          <cell r="F139" t="str">
            <v>Platinum</v>
          </cell>
          <cell r="G139" t="str">
            <v>Core</v>
          </cell>
          <cell r="H139" t="str">
            <v>SG_01_01 Sun Glass Hut_Platinum_OWNED</v>
          </cell>
          <cell r="I139" t="str">
            <v>0000004353 Walden Galleria</v>
          </cell>
          <cell r="J139" t="str">
            <v>Platinum - No CH</v>
          </cell>
          <cell r="K139">
            <v>0</v>
          </cell>
        </row>
        <row r="140">
          <cell r="C140">
            <v>4357</v>
          </cell>
          <cell r="D140" t="str">
            <v>Core</v>
          </cell>
          <cell r="E140" t="str">
            <v>Platinum</v>
          </cell>
          <cell r="F140" t="str">
            <v>Platinum</v>
          </cell>
          <cell r="G140" t="str">
            <v>Core</v>
          </cell>
          <cell r="H140" t="str">
            <v>SG_01_01 Sun Glass Hut_Platinum_OWNED</v>
          </cell>
          <cell r="I140" t="str">
            <v>0000004357 Metropolis at Metrotown</v>
          </cell>
          <cell r="J140" t="str">
            <v>Platinum - No CH</v>
          </cell>
          <cell r="K140">
            <v>0</v>
          </cell>
        </row>
        <row r="141">
          <cell r="C141">
            <v>4368</v>
          </cell>
          <cell r="D141" t="str">
            <v>Core</v>
          </cell>
          <cell r="E141" t="str">
            <v>Platinum</v>
          </cell>
          <cell r="F141" t="str">
            <v>Platinum</v>
          </cell>
          <cell r="G141" t="str">
            <v>Core</v>
          </cell>
          <cell r="H141" t="str">
            <v>SG_01_01 Sun Glass Hut_Platinum_OWNED</v>
          </cell>
          <cell r="I141" t="str">
            <v>0000004368 Sherway Gardens</v>
          </cell>
          <cell r="J141" t="str">
            <v>Platinum - No CH</v>
          </cell>
          <cell r="K141">
            <v>0</v>
          </cell>
        </row>
        <row r="142">
          <cell r="C142">
            <v>4378</v>
          </cell>
          <cell r="D142" t="str">
            <v>Core</v>
          </cell>
          <cell r="E142" t="str">
            <v>Platinum</v>
          </cell>
          <cell r="F142" t="str">
            <v>Platinum</v>
          </cell>
          <cell r="G142" t="str">
            <v>Core</v>
          </cell>
          <cell r="H142" t="str">
            <v>SG_01_01 Sun Glass Hut_Platinum_OWNED</v>
          </cell>
          <cell r="I142" t="str">
            <v>0000004378 South Coast Plaza</v>
          </cell>
          <cell r="J142" t="str">
            <v>Platinum - No CH</v>
          </cell>
          <cell r="K142">
            <v>0</v>
          </cell>
        </row>
        <row r="143">
          <cell r="C143">
            <v>4392</v>
          </cell>
          <cell r="D143" t="str">
            <v>Core</v>
          </cell>
          <cell r="E143" t="str">
            <v>Platinum</v>
          </cell>
          <cell r="F143" t="str">
            <v>Platinum</v>
          </cell>
          <cell r="G143" t="str">
            <v>Core</v>
          </cell>
          <cell r="H143" t="str">
            <v>SG_01_01 Sun Glass Hut_Platinum_OWNED</v>
          </cell>
          <cell r="I143" t="str">
            <v>0000004392 Toronto Eaton Centre</v>
          </cell>
          <cell r="J143" t="str">
            <v>Platinum - CH</v>
          </cell>
          <cell r="K143" t="str">
            <v>Top Tier</v>
          </cell>
        </row>
        <row r="144">
          <cell r="C144">
            <v>4400</v>
          </cell>
          <cell r="D144" t="str">
            <v>Core</v>
          </cell>
          <cell r="E144" t="str">
            <v>Platinum</v>
          </cell>
          <cell r="F144" t="str">
            <v>Platinum</v>
          </cell>
          <cell r="G144" t="str">
            <v>Core</v>
          </cell>
          <cell r="H144" t="str">
            <v>SG_01_01 Sun Glass Hut_Platinum_OWNED</v>
          </cell>
          <cell r="I144" t="str">
            <v>0000004400 Calgary Eaton Centre</v>
          </cell>
          <cell r="J144" t="str">
            <v>Platinum - No CH</v>
          </cell>
          <cell r="K144">
            <v>0</v>
          </cell>
        </row>
        <row r="145">
          <cell r="C145">
            <v>4403</v>
          </cell>
          <cell r="D145" t="str">
            <v>Core</v>
          </cell>
          <cell r="E145" t="str">
            <v>Platinum</v>
          </cell>
          <cell r="F145" t="str">
            <v>Platinum</v>
          </cell>
          <cell r="G145" t="str">
            <v>Core</v>
          </cell>
          <cell r="H145" t="str">
            <v>SG_01_01 Sun Glass Hut_Platinum_OWNED</v>
          </cell>
          <cell r="I145" t="str">
            <v>0000004403 Kenwood Towne Centre</v>
          </cell>
          <cell r="J145" t="str">
            <v>Platinum - CH</v>
          </cell>
          <cell r="K145">
            <v>0</v>
          </cell>
        </row>
        <row r="146">
          <cell r="C146">
            <v>4413</v>
          </cell>
          <cell r="D146" t="str">
            <v>Core</v>
          </cell>
          <cell r="E146" t="str">
            <v>Platinum</v>
          </cell>
          <cell r="F146" t="str">
            <v>Platinum</v>
          </cell>
          <cell r="G146" t="str">
            <v>Core</v>
          </cell>
          <cell r="H146" t="str">
            <v>SG_01_01 Sun Glass Hut_Platinum_OWNED</v>
          </cell>
          <cell r="I146" t="str">
            <v>0000004413 Tysons Galleria</v>
          </cell>
          <cell r="J146" t="str">
            <v>Platinum - No CH</v>
          </cell>
          <cell r="K146">
            <v>0</v>
          </cell>
        </row>
        <row r="147">
          <cell r="C147">
            <v>4414</v>
          </cell>
          <cell r="D147" t="str">
            <v>Core</v>
          </cell>
          <cell r="E147" t="str">
            <v>Platinum</v>
          </cell>
          <cell r="F147" t="str">
            <v>Platinum</v>
          </cell>
          <cell r="G147" t="str">
            <v>Core</v>
          </cell>
          <cell r="H147" t="str">
            <v>SG_01_01 Sun Glass Hut_Platinum_OWNED</v>
          </cell>
          <cell r="I147" t="str">
            <v>0000004414 Ala Moana Center</v>
          </cell>
          <cell r="J147" t="str">
            <v>Platinum - CH</v>
          </cell>
          <cell r="K147" t="str">
            <v>Top Tier</v>
          </cell>
        </row>
        <row r="148">
          <cell r="C148">
            <v>4419</v>
          </cell>
          <cell r="D148" t="str">
            <v>Core</v>
          </cell>
          <cell r="E148" t="str">
            <v>Platinum</v>
          </cell>
          <cell r="F148" t="str">
            <v>Platinum</v>
          </cell>
          <cell r="G148" t="str">
            <v>Core</v>
          </cell>
          <cell r="H148" t="str">
            <v>SG_01_01 Sun Glass Hut_Platinum_OWNED</v>
          </cell>
          <cell r="I148" t="str">
            <v>0000004419 Cambridgeside Galleria</v>
          </cell>
          <cell r="J148" t="str">
            <v>Platinum - No CH</v>
          </cell>
          <cell r="K148">
            <v>0</v>
          </cell>
        </row>
        <row r="149">
          <cell r="C149">
            <v>4427</v>
          </cell>
          <cell r="D149" t="str">
            <v>Core</v>
          </cell>
          <cell r="E149" t="str">
            <v>Platinum</v>
          </cell>
          <cell r="F149" t="str">
            <v>Platinum</v>
          </cell>
          <cell r="G149" t="str">
            <v>Core</v>
          </cell>
          <cell r="H149" t="str">
            <v>SG_01_01 Sun Glass Hut_Platinum_OWNED</v>
          </cell>
          <cell r="I149" t="str">
            <v>0000004427 Menlo Park Mall</v>
          </cell>
          <cell r="J149" t="str">
            <v>Platinum - No CH</v>
          </cell>
          <cell r="K149">
            <v>0</v>
          </cell>
        </row>
        <row r="150">
          <cell r="C150">
            <v>4444</v>
          </cell>
          <cell r="D150" t="str">
            <v>Core</v>
          </cell>
          <cell r="E150" t="str">
            <v>Platinum</v>
          </cell>
          <cell r="F150" t="str">
            <v>Platinum</v>
          </cell>
          <cell r="G150" t="str">
            <v>Core</v>
          </cell>
          <cell r="H150" t="str">
            <v>SG_01_01 Sun Glass Hut_Platinum_OWNED</v>
          </cell>
          <cell r="I150" t="str">
            <v>0000004444 Natick Mall</v>
          </cell>
          <cell r="J150" t="str">
            <v>Platinum - No CH</v>
          </cell>
          <cell r="K150">
            <v>0</v>
          </cell>
        </row>
        <row r="151">
          <cell r="C151">
            <v>4473</v>
          </cell>
          <cell r="D151" t="str">
            <v>Core</v>
          </cell>
          <cell r="E151" t="str">
            <v>Platinum</v>
          </cell>
          <cell r="F151" t="str">
            <v>Platinum</v>
          </cell>
          <cell r="G151" t="str">
            <v>Core</v>
          </cell>
          <cell r="H151" t="str">
            <v>SG_01_01 Sun Glass Hut_Platinum_OWNED</v>
          </cell>
          <cell r="I151" t="str">
            <v>0000004473 Miami Int'l Airport</v>
          </cell>
          <cell r="J151" t="str">
            <v>Platinum - No CH</v>
          </cell>
          <cell r="K151">
            <v>0</v>
          </cell>
        </row>
        <row r="152">
          <cell r="C152">
            <v>4474</v>
          </cell>
          <cell r="D152" t="str">
            <v>Core</v>
          </cell>
          <cell r="E152" t="str">
            <v>Platinum</v>
          </cell>
          <cell r="F152" t="str">
            <v>Platinum</v>
          </cell>
          <cell r="G152" t="str">
            <v>Core</v>
          </cell>
          <cell r="H152" t="str">
            <v>SG_01_01 Sun Glass Hut_Platinum_OWNED</v>
          </cell>
          <cell r="I152" t="str">
            <v>0000004474 Freehold Raceway Mall</v>
          </cell>
          <cell r="J152" t="str">
            <v>Platinum - No CH</v>
          </cell>
          <cell r="K152">
            <v>0</v>
          </cell>
        </row>
        <row r="153">
          <cell r="C153">
            <v>4484</v>
          </cell>
          <cell r="D153" t="str">
            <v>Core</v>
          </cell>
          <cell r="E153" t="str">
            <v>Platinum</v>
          </cell>
          <cell r="F153" t="str">
            <v>Platinum</v>
          </cell>
          <cell r="G153" t="str">
            <v>Core</v>
          </cell>
          <cell r="H153" t="str">
            <v>SG_01_01 Sun Glass Hut_Platinum_OWNED</v>
          </cell>
          <cell r="I153" t="str">
            <v>0000004484 Upper Canada Mall</v>
          </cell>
          <cell r="J153" t="str">
            <v>Platinum - No CH</v>
          </cell>
          <cell r="K153">
            <v>0</v>
          </cell>
        </row>
        <row r="154">
          <cell r="C154">
            <v>4493</v>
          </cell>
          <cell r="D154" t="str">
            <v>Core</v>
          </cell>
          <cell r="E154" t="str">
            <v>Platinum</v>
          </cell>
          <cell r="F154" t="str">
            <v>Platinum</v>
          </cell>
          <cell r="G154" t="str">
            <v>Core</v>
          </cell>
          <cell r="H154" t="str">
            <v>SG_01_01 Sun Glass Hut_Platinum_OWNED</v>
          </cell>
          <cell r="I154" t="str">
            <v>0000004493 Mapleview Centre</v>
          </cell>
          <cell r="J154" t="str">
            <v>Platinum - No CH</v>
          </cell>
          <cell r="K154">
            <v>0</v>
          </cell>
        </row>
        <row r="155">
          <cell r="C155">
            <v>4506</v>
          </cell>
          <cell r="D155" t="str">
            <v>Core</v>
          </cell>
          <cell r="E155" t="str">
            <v>Platinum</v>
          </cell>
          <cell r="F155" t="str">
            <v>Platinum</v>
          </cell>
          <cell r="G155" t="str">
            <v>Core</v>
          </cell>
          <cell r="H155" t="str">
            <v>SG_01_01 Sun Glass Hut_Platinum_OWNED</v>
          </cell>
          <cell r="I155" t="str">
            <v>0000004506 Fair Oaks Mall</v>
          </cell>
          <cell r="J155" t="str">
            <v>Platinum - CH</v>
          </cell>
          <cell r="K155">
            <v>0</v>
          </cell>
        </row>
        <row r="156">
          <cell r="C156">
            <v>4523</v>
          </cell>
          <cell r="D156" t="str">
            <v>Core</v>
          </cell>
          <cell r="E156" t="str">
            <v>Platinum</v>
          </cell>
          <cell r="F156" t="str">
            <v>Platinum</v>
          </cell>
          <cell r="G156" t="str">
            <v>Core</v>
          </cell>
          <cell r="H156" t="str">
            <v>SG_01_01 Sun Glass Hut_Platinum_OWNED</v>
          </cell>
          <cell r="I156" t="str">
            <v>0000004523 Town Center At Boca Raton</v>
          </cell>
          <cell r="J156" t="str">
            <v>Platinum - CH</v>
          </cell>
          <cell r="K156">
            <v>0</v>
          </cell>
        </row>
        <row r="157">
          <cell r="C157">
            <v>4532</v>
          </cell>
          <cell r="D157" t="str">
            <v>Core</v>
          </cell>
          <cell r="E157" t="str">
            <v>Platinum</v>
          </cell>
          <cell r="F157" t="str">
            <v>Platinum</v>
          </cell>
          <cell r="G157" t="str">
            <v>Core</v>
          </cell>
          <cell r="H157" t="str">
            <v>SG_01_01 Sun Glass Hut_Platinum_OWNED</v>
          </cell>
          <cell r="I157" t="str">
            <v>0000004532 Towson Town Center</v>
          </cell>
          <cell r="J157" t="str">
            <v>Platinum - No CH</v>
          </cell>
          <cell r="K157">
            <v>0</v>
          </cell>
        </row>
        <row r="158">
          <cell r="C158">
            <v>4546</v>
          </cell>
          <cell r="D158" t="str">
            <v>Core</v>
          </cell>
          <cell r="E158" t="str">
            <v>Platinum</v>
          </cell>
          <cell r="F158" t="str">
            <v>Platinum</v>
          </cell>
          <cell r="G158" t="str">
            <v>Core</v>
          </cell>
          <cell r="H158" t="str">
            <v>SG_01_01 Sun Glass Hut_Platinum_OWNED</v>
          </cell>
          <cell r="I158" t="str">
            <v>0000004546 Phipps Plaza</v>
          </cell>
          <cell r="J158" t="str">
            <v>Platinum - No CH</v>
          </cell>
          <cell r="K158">
            <v>0</v>
          </cell>
        </row>
        <row r="159">
          <cell r="C159">
            <v>4548</v>
          </cell>
          <cell r="D159" t="str">
            <v>Core</v>
          </cell>
          <cell r="E159" t="str">
            <v>Platinum</v>
          </cell>
          <cell r="F159" t="str">
            <v>Platinum</v>
          </cell>
          <cell r="G159" t="str">
            <v>Core</v>
          </cell>
          <cell r="H159" t="str">
            <v>SG_01_01 Sun Glass Hut_Platinum_OWNED</v>
          </cell>
          <cell r="I159" t="str">
            <v>0000004548 Galleria Dallas</v>
          </cell>
          <cell r="J159" t="str">
            <v>Platinum - CH</v>
          </cell>
          <cell r="K159">
            <v>0</v>
          </cell>
        </row>
        <row r="160">
          <cell r="C160">
            <v>4564</v>
          </cell>
          <cell r="D160" t="str">
            <v>Core</v>
          </cell>
          <cell r="E160" t="str">
            <v>Platinum</v>
          </cell>
          <cell r="F160" t="str">
            <v>Platinum</v>
          </cell>
          <cell r="G160" t="str">
            <v>Core</v>
          </cell>
          <cell r="H160" t="str">
            <v>SG_01_01 Sun Glass Hut_Platinum_OWNED</v>
          </cell>
          <cell r="I160" t="str">
            <v>0000004564 Yorkdale Shopping Centre</v>
          </cell>
          <cell r="J160" t="str">
            <v>Platinum - No CH</v>
          </cell>
          <cell r="K160" t="str">
            <v>Top Tier</v>
          </cell>
        </row>
        <row r="161">
          <cell r="C161">
            <v>4579</v>
          </cell>
          <cell r="D161" t="str">
            <v>Core</v>
          </cell>
          <cell r="E161" t="str">
            <v>Platinum</v>
          </cell>
          <cell r="F161" t="str">
            <v>Platinum</v>
          </cell>
          <cell r="G161" t="str">
            <v>Core</v>
          </cell>
          <cell r="H161" t="str">
            <v>SG_01_01 Sun Glass Hut_Platinum_OWNED</v>
          </cell>
          <cell r="I161" t="str">
            <v>0000004579 La Palmera</v>
          </cell>
          <cell r="J161" t="str">
            <v>Platinum - No CH</v>
          </cell>
          <cell r="K161">
            <v>0</v>
          </cell>
        </row>
        <row r="162">
          <cell r="C162">
            <v>4587</v>
          </cell>
          <cell r="D162" t="str">
            <v>Core</v>
          </cell>
          <cell r="E162" t="str">
            <v>Platinum</v>
          </cell>
          <cell r="F162" t="str">
            <v>Platinum</v>
          </cell>
          <cell r="G162" t="str">
            <v>Core</v>
          </cell>
          <cell r="H162" t="str">
            <v>SG_01_01 Sun Glass Hut_Platinum_OWNED</v>
          </cell>
          <cell r="I162" t="str">
            <v>0000004587 Los Cerritos Center</v>
          </cell>
          <cell r="J162" t="str">
            <v>Platinum - CH</v>
          </cell>
          <cell r="K162">
            <v>0</v>
          </cell>
        </row>
        <row r="163">
          <cell r="C163">
            <v>4588</v>
          </cell>
          <cell r="D163" t="str">
            <v>Core</v>
          </cell>
          <cell r="E163" t="str">
            <v>Platinum</v>
          </cell>
          <cell r="F163" t="str">
            <v>Platinum</v>
          </cell>
          <cell r="G163" t="str">
            <v>Core</v>
          </cell>
          <cell r="H163" t="str">
            <v>SG_01_01 Sun Glass Hut_Platinum_OWNED</v>
          </cell>
          <cell r="I163" t="str">
            <v>0000004588 Pittsburgh Int'l Airport</v>
          </cell>
          <cell r="J163" t="str">
            <v>Platinum - No CH</v>
          </cell>
          <cell r="K163">
            <v>0</v>
          </cell>
        </row>
        <row r="164">
          <cell r="C164">
            <v>4589</v>
          </cell>
          <cell r="D164" t="str">
            <v>Core</v>
          </cell>
          <cell r="E164" t="str">
            <v>Platinum</v>
          </cell>
          <cell r="F164" t="str">
            <v>Platinum</v>
          </cell>
          <cell r="G164" t="str">
            <v>Core</v>
          </cell>
          <cell r="H164" t="str">
            <v>SG_01_01 Sun Glass Hut_Platinum_OWNED</v>
          </cell>
          <cell r="I164" t="str">
            <v>0000004589 Bellevue Square</v>
          </cell>
          <cell r="J164" t="str">
            <v>Platinum - CH</v>
          </cell>
          <cell r="K164">
            <v>0</v>
          </cell>
        </row>
        <row r="165">
          <cell r="C165">
            <v>4599</v>
          </cell>
          <cell r="D165" t="str">
            <v>Core</v>
          </cell>
          <cell r="E165" t="str">
            <v>Platinum</v>
          </cell>
          <cell r="F165" t="str">
            <v>Platinum</v>
          </cell>
          <cell r="G165" t="str">
            <v>Core</v>
          </cell>
          <cell r="H165" t="str">
            <v>SG_01_01 Sun Glass Hut_Platinum_OWNED</v>
          </cell>
          <cell r="I165" t="str">
            <v>0000004599 Rivercenter Mall</v>
          </cell>
          <cell r="J165" t="str">
            <v>Platinum - No CH</v>
          </cell>
          <cell r="K165">
            <v>0</v>
          </cell>
        </row>
        <row r="166">
          <cell r="C166">
            <v>4600</v>
          </cell>
          <cell r="D166" t="str">
            <v>Core</v>
          </cell>
          <cell r="E166" t="str">
            <v>Platinum</v>
          </cell>
          <cell r="F166" t="str">
            <v>Platinum</v>
          </cell>
          <cell r="G166" t="str">
            <v>Core</v>
          </cell>
          <cell r="H166" t="str">
            <v>SG_01_01 Sun Glass Hut_Platinum_OWNED</v>
          </cell>
          <cell r="I166" t="str">
            <v>0000004600 Plaza Las Americas</v>
          </cell>
          <cell r="J166" t="str">
            <v>Platinum - No CH</v>
          </cell>
          <cell r="K166" t="str">
            <v>Top Tier</v>
          </cell>
        </row>
        <row r="167">
          <cell r="C167">
            <v>4602</v>
          </cell>
          <cell r="D167" t="str">
            <v>Core</v>
          </cell>
          <cell r="E167" t="str">
            <v>Platinum</v>
          </cell>
          <cell r="F167" t="str">
            <v>Platinum</v>
          </cell>
          <cell r="G167" t="str">
            <v>Core</v>
          </cell>
          <cell r="H167" t="str">
            <v>SG_01_01 Sun Glass Hut_Platinum_OWNED</v>
          </cell>
          <cell r="I167" t="str">
            <v>0000004602 Stanford Shopping Center</v>
          </cell>
          <cell r="J167" t="str">
            <v>Platinum - No CH</v>
          </cell>
          <cell r="K167">
            <v>0</v>
          </cell>
        </row>
        <row r="168">
          <cell r="C168">
            <v>4607</v>
          </cell>
          <cell r="D168" t="str">
            <v>Core</v>
          </cell>
          <cell r="E168" t="str">
            <v>Platinum</v>
          </cell>
          <cell r="F168" t="str">
            <v>Platinum</v>
          </cell>
          <cell r="G168" t="str">
            <v>Core</v>
          </cell>
          <cell r="H168" t="str">
            <v>SG_01_01 Sun Glass Hut_Platinum_OWNED</v>
          </cell>
          <cell r="I168" t="str">
            <v>0000004607 Century City</v>
          </cell>
          <cell r="J168" t="str">
            <v>Platinum - CH</v>
          </cell>
          <cell r="K168">
            <v>0</v>
          </cell>
        </row>
        <row r="169">
          <cell r="C169">
            <v>4611</v>
          </cell>
          <cell r="D169" t="str">
            <v>Core</v>
          </cell>
          <cell r="E169" t="str">
            <v>Platinum</v>
          </cell>
          <cell r="F169" t="str">
            <v>Platinum</v>
          </cell>
          <cell r="G169" t="str">
            <v>Core</v>
          </cell>
          <cell r="H169" t="str">
            <v>SG_01_01 Sun Glass Hut_Platinum_OWNED</v>
          </cell>
          <cell r="I169" t="str">
            <v>0000004611 Arrowhead Towne Center</v>
          </cell>
          <cell r="J169" t="str">
            <v>Platinum - No CH</v>
          </cell>
          <cell r="K169">
            <v>0</v>
          </cell>
        </row>
        <row r="170">
          <cell r="C170">
            <v>4613</v>
          </cell>
          <cell r="D170" t="str">
            <v>Core</v>
          </cell>
          <cell r="E170" t="str">
            <v>Platinum</v>
          </cell>
          <cell r="F170" t="str">
            <v>Platinum</v>
          </cell>
          <cell r="G170" t="str">
            <v>Core</v>
          </cell>
          <cell r="H170" t="str">
            <v>SG_01_01 Sun Glass Hut_Platinum_OWNED</v>
          </cell>
          <cell r="I170" t="str">
            <v>0000004613 Ocean Dr</v>
          </cell>
          <cell r="J170" t="str">
            <v>Platinum - No CH</v>
          </cell>
          <cell r="K170">
            <v>0</v>
          </cell>
        </row>
        <row r="171">
          <cell r="C171">
            <v>4635</v>
          </cell>
          <cell r="D171" t="str">
            <v>Core</v>
          </cell>
          <cell r="E171" t="str">
            <v>Platinum</v>
          </cell>
          <cell r="F171" t="str">
            <v>Platinum</v>
          </cell>
          <cell r="G171" t="str">
            <v>Core</v>
          </cell>
          <cell r="H171" t="str">
            <v>SG_01_01 Sun Glass Hut_Platinum_OWNED</v>
          </cell>
          <cell r="I171" t="str">
            <v>0000004635 Roosevelt Field</v>
          </cell>
          <cell r="J171" t="str">
            <v>Platinum - CH</v>
          </cell>
          <cell r="K171" t="str">
            <v>Top Tier</v>
          </cell>
        </row>
        <row r="172">
          <cell r="C172">
            <v>4636</v>
          </cell>
          <cell r="D172" t="str">
            <v>Core</v>
          </cell>
          <cell r="E172" t="str">
            <v>Platinum</v>
          </cell>
          <cell r="F172" t="str">
            <v>Platinum</v>
          </cell>
          <cell r="G172" t="str">
            <v>Core</v>
          </cell>
          <cell r="H172" t="str">
            <v>SG_01_01 Sun Glass Hut_Platinum_OWNED</v>
          </cell>
          <cell r="I172" t="str">
            <v>0000004636 Pacific Centre</v>
          </cell>
          <cell r="J172" t="str">
            <v>Platinum - No CH</v>
          </cell>
          <cell r="K172">
            <v>0</v>
          </cell>
        </row>
        <row r="173">
          <cell r="C173">
            <v>4677</v>
          </cell>
          <cell r="D173" t="str">
            <v>Core</v>
          </cell>
          <cell r="E173" t="str">
            <v>Platinum</v>
          </cell>
          <cell r="F173" t="str">
            <v>Platinum</v>
          </cell>
          <cell r="G173" t="str">
            <v>Core</v>
          </cell>
          <cell r="H173" t="str">
            <v>SG_01_01 Sun Glass Hut_Platinum_OWNED</v>
          </cell>
          <cell r="I173" t="str">
            <v>0000004677 Broadway Plaza</v>
          </cell>
          <cell r="J173" t="str">
            <v>Platinum - CH</v>
          </cell>
          <cell r="K173">
            <v>0</v>
          </cell>
        </row>
        <row r="174">
          <cell r="C174">
            <v>4680</v>
          </cell>
          <cell r="D174" t="str">
            <v>Core</v>
          </cell>
          <cell r="E174" t="str">
            <v>Platinum</v>
          </cell>
          <cell r="F174" t="str">
            <v>Platinum</v>
          </cell>
          <cell r="G174" t="str">
            <v>Core</v>
          </cell>
          <cell r="H174" t="str">
            <v>SG_01_01 Sun Glass Hut_Platinum_OWNED</v>
          </cell>
          <cell r="I174" t="str">
            <v>0000004680 Lenox Square</v>
          </cell>
          <cell r="J174" t="str">
            <v>Platinum - No CH</v>
          </cell>
          <cell r="K174">
            <v>0</v>
          </cell>
        </row>
        <row r="175">
          <cell r="C175">
            <v>4686</v>
          </cell>
          <cell r="D175" t="str">
            <v>Core</v>
          </cell>
          <cell r="E175" t="str">
            <v>Platinum</v>
          </cell>
          <cell r="F175" t="str">
            <v>Platinum</v>
          </cell>
          <cell r="G175" t="str">
            <v>Core</v>
          </cell>
          <cell r="H175" t="str">
            <v>SG_01_01 Sun Glass Hut_Platinum_OWNED</v>
          </cell>
          <cell r="I175" t="str">
            <v>0000004686 Walt Whitman Shops</v>
          </cell>
          <cell r="J175" t="str">
            <v>Platinum - CH</v>
          </cell>
          <cell r="K175">
            <v>0</v>
          </cell>
        </row>
        <row r="176">
          <cell r="C176">
            <v>4704</v>
          </cell>
          <cell r="D176" t="str">
            <v>Core</v>
          </cell>
          <cell r="E176" t="str">
            <v>Platinum</v>
          </cell>
          <cell r="F176" t="str">
            <v>Platinum</v>
          </cell>
          <cell r="G176" t="str">
            <v>Core</v>
          </cell>
          <cell r="H176" t="str">
            <v>SG_01_01 Sun Glass Hut_Platinum_OWNED</v>
          </cell>
          <cell r="I176" t="str">
            <v>0000004704 Water Tower Place</v>
          </cell>
          <cell r="J176" t="str">
            <v>Platinum - No CH</v>
          </cell>
          <cell r="K176">
            <v>0</v>
          </cell>
        </row>
        <row r="177">
          <cell r="C177">
            <v>4708</v>
          </cell>
          <cell r="D177" t="str">
            <v>Core</v>
          </cell>
          <cell r="E177" t="str">
            <v>Platinum</v>
          </cell>
          <cell r="F177" t="str">
            <v>Platinum</v>
          </cell>
          <cell r="G177" t="str">
            <v>Core</v>
          </cell>
          <cell r="H177" t="str">
            <v>SG_01_01 Sun Glass Hut_Platinum_OWNED</v>
          </cell>
          <cell r="I177" t="str">
            <v>0000004708 Newbury St</v>
          </cell>
          <cell r="J177" t="str">
            <v>Platinum - No CH</v>
          </cell>
          <cell r="K177">
            <v>0</v>
          </cell>
        </row>
        <row r="178">
          <cell r="C178">
            <v>4709</v>
          </cell>
          <cell r="D178" t="str">
            <v>Core</v>
          </cell>
          <cell r="E178" t="str">
            <v>Platinum</v>
          </cell>
          <cell r="F178" t="str">
            <v>Platinum</v>
          </cell>
          <cell r="G178" t="str">
            <v>Core</v>
          </cell>
          <cell r="H178" t="str">
            <v>SG_01_01 Sun Glass Hut_Platinum_OWNED</v>
          </cell>
          <cell r="I178" t="str">
            <v>0000004709 Tysons Corner Center</v>
          </cell>
          <cell r="J178" t="str">
            <v>Platinum - CH</v>
          </cell>
          <cell r="K178" t="str">
            <v>Top Tier</v>
          </cell>
        </row>
        <row r="179">
          <cell r="C179">
            <v>4772</v>
          </cell>
          <cell r="D179" t="str">
            <v>Core</v>
          </cell>
          <cell r="E179" t="str">
            <v>Platinum</v>
          </cell>
          <cell r="F179" t="str">
            <v>Platinum</v>
          </cell>
          <cell r="G179" t="str">
            <v>Core</v>
          </cell>
          <cell r="H179" t="str">
            <v>SG_01_01 Sun Glass Hut_Platinum_OWNED</v>
          </cell>
          <cell r="I179" t="str">
            <v>0000004772 Scottsdale Fashion Square</v>
          </cell>
          <cell r="J179" t="str">
            <v>Platinum - No CH</v>
          </cell>
          <cell r="K179">
            <v>0</v>
          </cell>
        </row>
        <row r="180">
          <cell r="C180">
            <v>4857</v>
          </cell>
          <cell r="D180" t="str">
            <v>Core</v>
          </cell>
          <cell r="E180" t="str">
            <v>Platinum</v>
          </cell>
          <cell r="F180" t="str">
            <v>Platinum</v>
          </cell>
          <cell r="G180" t="str">
            <v>Core</v>
          </cell>
          <cell r="H180" t="str">
            <v>SG_01_01 Sun Glass Hut_Platinum_OWNED</v>
          </cell>
          <cell r="I180" t="str">
            <v>0000004857 Prospect St</v>
          </cell>
          <cell r="J180" t="str">
            <v>Platinum - No CH</v>
          </cell>
          <cell r="K180">
            <v>0</v>
          </cell>
        </row>
        <row r="181">
          <cell r="C181">
            <v>4925</v>
          </cell>
          <cell r="D181" t="str">
            <v>Core</v>
          </cell>
          <cell r="E181" t="str">
            <v>Platinum</v>
          </cell>
          <cell r="F181" t="str">
            <v>Platinum</v>
          </cell>
          <cell r="G181" t="str">
            <v>Core</v>
          </cell>
          <cell r="H181" t="str">
            <v>SG_01_01 Sun Glass Hut_Platinum_OWNED</v>
          </cell>
          <cell r="I181" t="str">
            <v>0000004925 Beverly Center</v>
          </cell>
          <cell r="J181" t="str">
            <v>Platinum - No CH</v>
          </cell>
          <cell r="K181">
            <v>0</v>
          </cell>
        </row>
        <row r="182">
          <cell r="C182">
            <v>4933</v>
          </cell>
          <cell r="D182" t="str">
            <v>Core</v>
          </cell>
          <cell r="E182" t="str">
            <v>Platinum</v>
          </cell>
          <cell r="F182" t="str">
            <v>Platinum</v>
          </cell>
          <cell r="G182" t="str">
            <v>Core</v>
          </cell>
          <cell r="H182" t="str">
            <v>SG_01_01 Sun Glass Hut_Platinum_OWNED</v>
          </cell>
          <cell r="I182" t="str">
            <v>0000004933 Riverchase Galleria Mall</v>
          </cell>
          <cell r="J182" t="str">
            <v>Platinum - No CH</v>
          </cell>
          <cell r="K182">
            <v>0</v>
          </cell>
        </row>
        <row r="183">
          <cell r="C183">
            <v>4942</v>
          </cell>
          <cell r="D183" t="str">
            <v>Core</v>
          </cell>
          <cell r="E183" t="str">
            <v>Platinum</v>
          </cell>
          <cell r="F183" t="str">
            <v>Platinum</v>
          </cell>
          <cell r="G183" t="str">
            <v>Core</v>
          </cell>
          <cell r="H183" t="str">
            <v>SG_01_01 Sun Glass Hut_Platinum_OWNED</v>
          </cell>
          <cell r="I183" t="str">
            <v>0000004942 Miami Int'l Airport</v>
          </cell>
          <cell r="J183" t="str">
            <v>Platinum - No CH</v>
          </cell>
          <cell r="K183" t="str">
            <v>Top Tier</v>
          </cell>
        </row>
        <row r="184">
          <cell r="C184">
            <v>4943</v>
          </cell>
          <cell r="D184" t="str">
            <v>Core</v>
          </cell>
          <cell r="E184" t="str">
            <v>Platinum</v>
          </cell>
          <cell r="F184" t="str">
            <v>Platinum - Flg</v>
          </cell>
          <cell r="G184" t="str">
            <v>Core</v>
          </cell>
          <cell r="H184" t="str">
            <v>SG_01_01 Sun Glass Hut_Platinum_OWNED</v>
          </cell>
          <cell r="I184" t="str">
            <v>0000004943 Fifth Avenue at 49th</v>
          </cell>
          <cell r="J184" t="str">
            <v>Platinum - CH</v>
          </cell>
          <cell r="K184" t="str">
            <v>Flagship</v>
          </cell>
        </row>
        <row r="185">
          <cell r="C185">
            <v>4945</v>
          </cell>
          <cell r="D185" t="str">
            <v>Core</v>
          </cell>
          <cell r="E185" t="str">
            <v>Platinum</v>
          </cell>
          <cell r="F185" t="str">
            <v>Platinum</v>
          </cell>
          <cell r="G185" t="str">
            <v>Core</v>
          </cell>
          <cell r="H185" t="str">
            <v>SG_01_01 Sun Glass Hut_Platinum_OWNED</v>
          </cell>
          <cell r="I185" t="str">
            <v>0000004945 San Francisco Int'l Airport</v>
          </cell>
          <cell r="J185" t="str">
            <v>Platinum - No CH</v>
          </cell>
          <cell r="K185">
            <v>0</v>
          </cell>
        </row>
        <row r="186">
          <cell r="C186">
            <v>4952</v>
          </cell>
          <cell r="D186" t="str">
            <v>Core</v>
          </cell>
          <cell r="E186" t="str">
            <v>Platinum</v>
          </cell>
          <cell r="F186" t="str">
            <v>Platinum</v>
          </cell>
          <cell r="G186" t="str">
            <v>Core</v>
          </cell>
          <cell r="H186" t="str">
            <v>SG_01_01 Sun Glass Hut_Platinum_OWNED</v>
          </cell>
          <cell r="I186" t="str">
            <v>0000004952 Somerset Collection</v>
          </cell>
          <cell r="J186" t="str">
            <v>Platinum - No CH</v>
          </cell>
          <cell r="K186">
            <v>0</v>
          </cell>
        </row>
        <row r="187">
          <cell r="C187">
            <v>4953</v>
          </cell>
          <cell r="D187" t="str">
            <v>Core</v>
          </cell>
          <cell r="E187" t="str">
            <v>Platinum</v>
          </cell>
          <cell r="F187" t="str">
            <v>Platinum</v>
          </cell>
          <cell r="G187" t="str">
            <v>Core</v>
          </cell>
          <cell r="H187" t="str">
            <v>SG_01_01 Sun Glass Hut_Platinum_OWNED</v>
          </cell>
          <cell r="I187" t="str">
            <v>0000004953 Copley Place</v>
          </cell>
          <cell r="J187" t="str">
            <v>Platinum - No CH</v>
          </cell>
          <cell r="K187">
            <v>0</v>
          </cell>
        </row>
        <row r="188">
          <cell r="C188">
            <v>4986</v>
          </cell>
          <cell r="D188" t="str">
            <v>Core</v>
          </cell>
          <cell r="E188" t="str">
            <v>Platinum</v>
          </cell>
          <cell r="F188" t="str">
            <v>Platinum</v>
          </cell>
          <cell r="G188" t="str">
            <v>Core</v>
          </cell>
          <cell r="H188" t="str">
            <v>SG_01_01 Sun Glass Hut_Platinum_OWNED</v>
          </cell>
          <cell r="I188" t="str">
            <v>0000004986 Oglethorpe Mall</v>
          </cell>
          <cell r="J188" t="str">
            <v>Platinum - No CH</v>
          </cell>
          <cell r="K188">
            <v>0</v>
          </cell>
        </row>
        <row r="189">
          <cell r="C189">
            <v>5012</v>
          </cell>
          <cell r="D189" t="str">
            <v>Core</v>
          </cell>
          <cell r="E189" t="str">
            <v>Platinum</v>
          </cell>
          <cell r="F189" t="str">
            <v>Platinum</v>
          </cell>
          <cell r="G189" t="str">
            <v>Core</v>
          </cell>
          <cell r="H189" t="str">
            <v>SG_01_01 Sun Glass Hut_Platinum_OWNED</v>
          </cell>
          <cell r="I189" t="str">
            <v>0000005012 The Shops at La Cantera</v>
          </cell>
          <cell r="J189" t="str">
            <v>Platinum - CH</v>
          </cell>
          <cell r="K189">
            <v>0</v>
          </cell>
        </row>
        <row r="190">
          <cell r="C190">
            <v>5046</v>
          </cell>
          <cell r="D190" t="str">
            <v>Core</v>
          </cell>
          <cell r="E190" t="str">
            <v>Platinum</v>
          </cell>
          <cell r="F190" t="str">
            <v>Platinum</v>
          </cell>
          <cell r="G190" t="str">
            <v>Core</v>
          </cell>
          <cell r="H190" t="str">
            <v>SG_01_01 Sun Glass Hut_Platinum_OWNED</v>
          </cell>
          <cell r="I190" t="str">
            <v>0000005046 Market St</v>
          </cell>
          <cell r="J190" t="str">
            <v>Platinum - CH</v>
          </cell>
          <cell r="K190">
            <v>0</v>
          </cell>
        </row>
        <row r="191">
          <cell r="C191">
            <v>5055</v>
          </cell>
          <cell r="D191" t="str">
            <v>Core</v>
          </cell>
          <cell r="E191" t="str">
            <v>Platinum</v>
          </cell>
          <cell r="F191" t="str">
            <v>Platinum</v>
          </cell>
          <cell r="G191" t="str">
            <v>Core</v>
          </cell>
          <cell r="H191" t="str">
            <v>SG_01_01 Sun Glass Hut_Platinum_OWNED</v>
          </cell>
          <cell r="I191" t="str">
            <v>0000005055 Broadway</v>
          </cell>
          <cell r="J191" t="str">
            <v>Platinum - No CH</v>
          </cell>
          <cell r="K191">
            <v>0</v>
          </cell>
        </row>
        <row r="192">
          <cell r="C192">
            <v>5061</v>
          </cell>
          <cell r="D192" t="str">
            <v>Core</v>
          </cell>
          <cell r="E192" t="str">
            <v>Platinum</v>
          </cell>
          <cell r="F192" t="str">
            <v>Platinum</v>
          </cell>
          <cell r="G192" t="str">
            <v>Core</v>
          </cell>
          <cell r="H192" t="str">
            <v>SG_01_01 Sun Glass Hut_Platinum_OWNED</v>
          </cell>
          <cell r="I192" t="str">
            <v>0000005061 Town Square</v>
          </cell>
          <cell r="J192" t="str">
            <v>Platinum - No CH</v>
          </cell>
          <cell r="K192">
            <v>0</v>
          </cell>
        </row>
        <row r="193">
          <cell r="C193">
            <v>5062</v>
          </cell>
          <cell r="D193" t="str">
            <v>Core</v>
          </cell>
          <cell r="E193" t="str">
            <v>Platinum</v>
          </cell>
          <cell r="F193" t="str">
            <v>Platinum</v>
          </cell>
          <cell r="G193" t="str">
            <v>Core</v>
          </cell>
          <cell r="H193" t="str">
            <v>SG_01_01 Sun Glass Hut_Platinum_OWNED</v>
          </cell>
          <cell r="I193" t="str">
            <v>0000005062 Yacht Haven</v>
          </cell>
          <cell r="J193" t="str">
            <v>Platinum - No CH</v>
          </cell>
          <cell r="K193">
            <v>0</v>
          </cell>
        </row>
        <row r="194">
          <cell r="C194">
            <v>5065</v>
          </cell>
          <cell r="D194" t="str">
            <v>Core</v>
          </cell>
          <cell r="E194" t="str">
            <v>Platinum</v>
          </cell>
          <cell r="F194" t="str">
            <v>Platinum</v>
          </cell>
          <cell r="G194" t="str">
            <v>Core</v>
          </cell>
          <cell r="H194" t="str">
            <v>SG_01_01 Sun Glass Hut_Platinum_OWNED</v>
          </cell>
          <cell r="I194" t="str">
            <v>0000005065 Union St</v>
          </cell>
          <cell r="J194" t="str">
            <v>Platinum - No CH</v>
          </cell>
          <cell r="K194">
            <v>0</v>
          </cell>
        </row>
        <row r="195">
          <cell r="C195">
            <v>5076</v>
          </cell>
          <cell r="D195" t="str">
            <v>Core</v>
          </cell>
          <cell r="E195" t="str">
            <v>Platinum</v>
          </cell>
          <cell r="F195" t="str">
            <v>Platinum</v>
          </cell>
          <cell r="G195" t="str">
            <v>Core</v>
          </cell>
          <cell r="H195" t="str">
            <v>SG_01_01 Sun Glass Hut_Platinum_OWNED</v>
          </cell>
          <cell r="I195" t="str">
            <v>0000005076 Fashion Centre at Pentagon Cit</v>
          </cell>
          <cell r="J195" t="str">
            <v>Platinum - No CH</v>
          </cell>
          <cell r="K195">
            <v>0</v>
          </cell>
        </row>
        <row r="196">
          <cell r="C196">
            <v>5084</v>
          </cell>
          <cell r="D196" t="str">
            <v>Core</v>
          </cell>
          <cell r="E196" t="str">
            <v>Platinum</v>
          </cell>
          <cell r="F196" t="str">
            <v>Platinum</v>
          </cell>
          <cell r="G196" t="str">
            <v>Core</v>
          </cell>
          <cell r="H196" t="str">
            <v>SG_01_01 Sun Glass Hut_Platinum_OWNED</v>
          </cell>
          <cell r="I196" t="str">
            <v>0000005084 Minneapolis St Paul Int'l Airp</v>
          </cell>
          <cell r="J196" t="str">
            <v>Platinum - No CH</v>
          </cell>
          <cell r="K196">
            <v>0</v>
          </cell>
        </row>
        <row r="197">
          <cell r="C197">
            <v>5086</v>
          </cell>
          <cell r="D197" t="str">
            <v>Core</v>
          </cell>
          <cell r="E197" t="str">
            <v>Platinum</v>
          </cell>
          <cell r="F197" t="str">
            <v>Platinum</v>
          </cell>
          <cell r="G197" t="str">
            <v>Core</v>
          </cell>
          <cell r="H197" t="str">
            <v>SG_01_01 Sun Glass Hut_Platinum_OWNED</v>
          </cell>
          <cell r="I197" t="str">
            <v>0000005086 University Town Center</v>
          </cell>
          <cell r="J197" t="str">
            <v>Platinum - CH</v>
          </cell>
          <cell r="K197">
            <v>0</v>
          </cell>
        </row>
        <row r="198">
          <cell r="C198">
            <v>5125</v>
          </cell>
          <cell r="D198" t="str">
            <v>Core</v>
          </cell>
          <cell r="E198" t="str">
            <v>Platinum</v>
          </cell>
          <cell r="F198" t="str">
            <v>Platinum</v>
          </cell>
          <cell r="G198" t="str">
            <v>Core</v>
          </cell>
          <cell r="H198" t="str">
            <v>SG_01_01 Sun Glass Hut_Platinum_OWNED</v>
          </cell>
          <cell r="I198" t="str">
            <v>0000005125 Village Of Merrick Park</v>
          </cell>
          <cell r="J198" t="str">
            <v>Platinum - CH</v>
          </cell>
          <cell r="K198">
            <v>0</v>
          </cell>
        </row>
        <row r="199">
          <cell r="C199">
            <v>5127</v>
          </cell>
          <cell r="D199" t="str">
            <v>Core</v>
          </cell>
          <cell r="E199" t="str">
            <v>Platinum</v>
          </cell>
          <cell r="F199" t="str">
            <v>Platinum</v>
          </cell>
          <cell r="G199" t="str">
            <v>Core</v>
          </cell>
          <cell r="H199" t="str">
            <v>SG_01_01 Sun Glass Hut_Platinum_OWNED</v>
          </cell>
          <cell r="I199" t="str">
            <v>0000005127 George Bush Int'l Airport</v>
          </cell>
          <cell r="J199" t="str">
            <v>Platinum - No CH</v>
          </cell>
          <cell r="K199" t="str">
            <v>Top Tier</v>
          </cell>
        </row>
        <row r="200">
          <cell r="C200">
            <v>5129</v>
          </cell>
          <cell r="D200" t="str">
            <v>Core</v>
          </cell>
          <cell r="E200" t="str">
            <v>Platinum</v>
          </cell>
          <cell r="F200" t="str">
            <v>Platinum</v>
          </cell>
          <cell r="G200" t="str">
            <v>Core</v>
          </cell>
          <cell r="H200" t="str">
            <v>SG_01_01 Sun Glass Hut_Platinum_OWNED</v>
          </cell>
          <cell r="I200" t="str">
            <v>0000005129 Vintage Faire Mall</v>
          </cell>
          <cell r="J200" t="str">
            <v>Platinum - No CH</v>
          </cell>
          <cell r="K200">
            <v>0</v>
          </cell>
        </row>
        <row r="201">
          <cell r="C201">
            <v>5135</v>
          </cell>
          <cell r="D201" t="str">
            <v>Core</v>
          </cell>
          <cell r="E201" t="str">
            <v>Platinum</v>
          </cell>
          <cell r="F201" t="str">
            <v>Platinum</v>
          </cell>
          <cell r="G201" t="str">
            <v>Core</v>
          </cell>
          <cell r="H201" t="str">
            <v>SG_01_01 Sun Glass Hut_Platinum_OWNED</v>
          </cell>
          <cell r="I201" t="str">
            <v>0000005135 San Francisco Centre</v>
          </cell>
          <cell r="J201" t="str">
            <v>Platinum - No CH</v>
          </cell>
          <cell r="K201">
            <v>0</v>
          </cell>
        </row>
        <row r="202">
          <cell r="C202">
            <v>5143</v>
          </cell>
          <cell r="D202" t="str">
            <v>Core</v>
          </cell>
          <cell r="E202" t="str">
            <v>Platinum</v>
          </cell>
          <cell r="F202" t="str">
            <v>Platinum</v>
          </cell>
          <cell r="G202" t="str">
            <v>Core</v>
          </cell>
          <cell r="H202" t="str">
            <v>SG_01_01 Sun Glass Hut_Platinum_OWNED</v>
          </cell>
          <cell r="I202" t="str">
            <v>0000005143 Horton Plaza</v>
          </cell>
          <cell r="J202" t="str">
            <v>Platinum - CH</v>
          </cell>
          <cell r="K202">
            <v>0</v>
          </cell>
        </row>
        <row r="203">
          <cell r="C203">
            <v>5148</v>
          </cell>
          <cell r="D203" t="str">
            <v>Core</v>
          </cell>
          <cell r="E203" t="str">
            <v>Platinum</v>
          </cell>
          <cell r="F203" t="str">
            <v>Platinum</v>
          </cell>
          <cell r="G203" t="str">
            <v>Core</v>
          </cell>
          <cell r="H203" t="str">
            <v>SG_01_01 Sun Glass Hut_Platinum_OWNED</v>
          </cell>
          <cell r="I203" t="str">
            <v>0000005148 Miracle Mile Shops</v>
          </cell>
          <cell r="J203" t="str">
            <v>Platinum - CH</v>
          </cell>
          <cell r="K203">
            <v>0</v>
          </cell>
        </row>
        <row r="204">
          <cell r="C204">
            <v>5152</v>
          </cell>
          <cell r="D204" t="str">
            <v>Core</v>
          </cell>
          <cell r="E204" t="str">
            <v>Platinum</v>
          </cell>
          <cell r="F204" t="str">
            <v>Platinum</v>
          </cell>
          <cell r="G204" t="str">
            <v>Core</v>
          </cell>
          <cell r="H204" t="str">
            <v>SG_01_01 Sun Glass Hut_Platinum_OWNED</v>
          </cell>
          <cell r="I204" t="str">
            <v>0000005152 Smith &amp; Wollensky</v>
          </cell>
          <cell r="J204" t="str">
            <v>Platinum - No CH</v>
          </cell>
          <cell r="K204">
            <v>0</v>
          </cell>
        </row>
        <row r="205">
          <cell r="C205">
            <v>5154</v>
          </cell>
          <cell r="D205" t="str">
            <v>Core</v>
          </cell>
          <cell r="E205" t="str">
            <v>Platinum</v>
          </cell>
          <cell r="F205" t="str">
            <v>Platinum</v>
          </cell>
          <cell r="G205" t="str">
            <v>Core</v>
          </cell>
          <cell r="H205" t="str">
            <v>SG_01_01 Sun Glass Hut_Platinum_OWNED</v>
          </cell>
          <cell r="I205" t="str">
            <v>0000005154 Crabtree Valley Mall</v>
          </cell>
          <cell r="J205" t="str">
            <v>Platinum - CH</v>
          </cell>
          <cell r="K205">
            <v>0</v>
          </cell>
        </row>
        <row r="206">
          <cell r="C206">
            <v>5160</v>
          </cell>
          <cell r="D206" t="str">
            <v>Core</v>
          </cell>
          <cell r="E206" t="str">
            <v>Platinum</v>
          </cell>
          <cell r="F206" t="str">
            <v>Platinum</v>
          </cell>
          <cell r="G206" t="str">
            <v>Core</v>
          </cell>
          <cell r="H206" t="str">
            <v>SG_01_01 Sun Glass Hut_Platinum_OWNED</v>
          </cell>
          <cell r="I206" t="str">
            <v>0000005160 Chestnut St</v>
          </cell>
          <cell r="J206" t="str">
            <v>Platinum - No CH</v>
          </cell>
          <cell r="K206">
            <v>0</v>
          </cell>
        </row>
        <row r="207">
          <cell r="C207">
            <v>5236</v>
          </cell>
          <cell r="D207" t="str">
            <v>Core</v>
          </cell>
          <cell r="E207" t="str">
            <v>Platinum</v>
          </cell>
          <cell r="F207" t="str">
            <v>Platinum</v>
          </cell>
          <cell r="G207" t="str">
            <v>Core</v>
          </cell>
          <cell r="H207" t="str">
            <v>SG_01_01 Sun Glass Hut_Platinum_OWNED</v>
          </cell>
          <cell r="I207" t="str">
            <v>0000005236 Lincoln Rd</v>
          </cell>
          <cell r="J207" t="str">
            <v>Platinum - CH</v>
          </cell>
          <cell r="K207">
            <v>0</v>
          </cell>
        </row>
        <row r="208">
          <cell r="C208">
            <v>5240</v>
          </cell>
          <cell r="D208" t="str">
            <v>Core</v>
          </cell>
          <cell r="E208" t="str">
            <v>Platinum</v>
          </cell>
          <cell r="F208" t="str">
            <v>Platinum</v>
          </cell>
          <cell r="G208" t="str">
            <v>Core</v>
          </cell>
          <cell r="H208" t="str">
            <v>SG_01_01 Sun Glass Hut_Platinum_OWNED</v>
          </cell>
          <cell r="I208" t="str">
            <v>0000005240 Oak Park Mall</v>
          </cell>
          <cell r="J208" t="str">
            <v>Platinum - No CH</v>
          </cell>
          <cell r="K208">
            <v>0</v>
          </cell>
        </row>
        <row r="209">
          <cell r="C209">
            <v>5242</v>
          </cell>
          <cell r="D209" t="str">
            <v>Core</v>
          </cell>
          <cell r="E209" t="str">
            <v>Platinum</v>
          </cell>
          <cell r="F209" t="str">
            <v>Platinum</v>
          </cell>
          <cell r="G209" t="str">
            <v>Core</v>
          </cell>
          <cell r="H209" t="str">
            <v>SG_01_01 Sun Glass Hut_Platinum_OWNED</v>
          </cell>
          <cell r="I209" t="str">
            <v>0000005242 Del Amo Fashion Center</v>
          </cell>
          <cell r="J209" t="str">
            <v>Platinum - No CH</v>
          </cell>
          <cell r="K209">
            <v>0</v>
          </cell>
        </row>
        <row r="210">
          <cell r="C210">
            <v>5258</v>
          </cell>
          <cell r="D210" t="str">
            <v>Core</v>
          </cell>
          <cell r="E210" t="str">
            <v>Platinum</v>
          </cell>
          <cell r="F210" t="str">
            <v>Platinum</v>
          </cell>
          <cell r="G210" t="str">
            <v>Core</v>
          </cell>
          <cell r="H210" t="str">
            <v>SG_01_01 Sun Glass Hut_Platinum_OWNED</v>
          </cell>
          <cell r="I210" t="str">
            <v>0000005258 La Plaza Mall</v>
          </cell>
          <cell r="J210" t="str">
            <v>Platinum - No CH</v>
          </cell>
          <cell r="K210">
            <v>0</v>
          </cell>
        </row>
        <row r="211">
          <cell r="C211">
            <v>5266</v>
          </cell>
          <cell r="D211" t="str">
            <v>Core</v>
          </cell>
          <cell r="E211" t="str">
            <v>Platinum</v>
          </cell>
          <cell r="F211" t="str">
            <v>Platinum</v>
          </cell>
          <cell r="G211" t="str">
            <v>Core</v>
          </cell>
          <cell r="H211" t="str">
            <v>SG_01_01 Sun Glass Hut_Platinum_OWNED</v>
          </cell>
          <cell r="I211" t="str">
            <v>0000005266 The Florida Mall</v>
          </cell>
          <cell r="J211" t="str">
            <v>Platinum - No CH</v>
          </cell>
          <cell r="K211">
            <v>0</v>
          </cell>
        </row>
        <row r="212">
          <cell r="C212">
            <v>5282</v>
          </cell>
          <cell r="D212" t="str">
            <v>Core</v>
          </cell>
          <cell r="E212" t="str">
            <v>Platinum</v>
          </cell>
          <cell r="F212" t="str">
            <v>Platinum</v>
          </cell>
          <cell r="G212" t="str">
            <v>Core</v>
          </cell>
          <cell r="H212" t="str">
            <v>SG_01_01 Sun Glass Hut_Platinum_OWNED</v>
          </cell>
          <cell r="I212" t="str">
            <v>0000005282 Sherway Gardens</v>
          </cell>
          <cell r="J212" t="str">
            <v>Platinum - CH</v>
          </cell>
          <cell r="K212">
            <v>0</v>
          </cell>
        </row>
        <row r="213">
          <cell r="C213">
            <v>5287</v>
          </cell>
          <cell r="D213" t="str">
            <v>Core</v>
          </cell>
          <cell r="E213" t="str">
            <v>Platinum</v>
          </cell>
          <cell r="F213" t="str">
            <v>Platinum</v>
          </cell>
          <cell r="G213" t="str">
            <v>Core</v>
          </cell>
          <cell r="H213" t="str">
            <v>SG_01_01 Sun Glass Hut_Platinum_OWNED</v>
          </cell>
          <cell r="I213" t="str">
            <v>0000005287 Newbury St</v>
          </cell>
          <cell r="J213" t="str">
            <v>Platinum - CH</v>
          </cell>
          <cell r="K213">
            <v>0</v>
          </cell>
        </row>
        <row r="214">
          <cell r="C214">
            <v>5289</v>
          </cell>
          <cell r="D214" t="str">
            <v>Core</v>
          </cell>
          <cell r="E214" t="str">
            <v>Platinum</v>
          </cell>
          <cell r="F214" t="str">
            <v>Platinum</v>
          </cell>
          <cell r="G214" t="str">
            <v>Core</v>
          </cell>
          <cell r="H214" t="str">
            <v>SG_01_01 Sun Glass Hut_Platinum_OWNED</v>
          </cell>
          <cell r="I214" t="str">
            <v>0000005289 Abq Uptown</v>
          </cell>
          <cell r="J214" t="str">
            <v>Platinum - No CH</v>
          </cell>
          <cell r="K214">
            <v>0</v>
          </cell>
        </row>
        <row r="215">
          <cell r="C215">
            <v>5308</v>
          </cell>
          <cell r="D215" t="str">
            <v>Core</v>
          </cell>
          <cell r="E215" t="str">
            <v>Platinum</v>
          </cell>
          <cell r="F215" t="str">
            <v>Platinum</v>
          </cell>
          <cell r="G215" t="str">
            <v>Core</v>
          </cell>
          <cell r="H215" t="str">
            <v>SG_01_01 Sun Glass Hut_Platinum_OWNED</v>
          </cell>
          <cell r="I215" t="str">
            <v>0000005308 The Shops at Pembroke Gardens</v>
          </cell>
          <cell r="J215" t="str">
            <v>Platinum - CH</v>
          </cell>
          <cell r="K215">
            <v>0</v>
          </cell>
        </row>
        <row r="216">
          <cell r="C216">
            <v>5335</v>
          </cell>
          <cell r="D216" t="str">
            <v>Core</v>
          </cell>
          <cell r="E216" t="str">
            <v>Platinum</v>
          </cell>
          <cell r="F216" t="str">
            <v>Platinum</v>
          </cell>
          <cell r="G216" t="str">
            <v>Core</v>
          </cell>
          <cell r="H216" t="str">
            <v>SG_01_01 Sun Glass Hut_Platinum_OWNED</v>
          </cell>
          <cell r="I216" t="str">
            <v>0000005335 Yorkville Ave</v>
          </cell>
          <cell r="J216" t="str">
            <v>Platinum - No CH</v>
          </cell>
          <cell r="K216">
            <v>0</v>
          </cell>
        </row>
        <row r="217">
          <cell r="C217">
            <v>5343</v>
          </cell>
          <cell r="D217" t="str">
            <v>Core</v>
          </cell>
          <cell r="E217" t="str">
            <v>Platinum</v>
          </cell>
          <cell r="F217" t="str">
            <v>Platinum</v>
          </cell>
          <cell r="G217" t="str">
            <v>Core</v>
          </cell>
          <cell r="H217" t="str">
            <v>SG_01_01 Sun Glass Hut_Platinum_OWNED</v>
          </cell>
          <cell r="I217" t="str">
            <v>0000005343 Galleria At Roseville</v>
          </cell>
          <cell r="J217" t="str">
            <v>Platinum - CH</v>
          </cell>
          <cell r="K217">
            <v>0</v>
          </cell>
        </row>
        <row r="218">
          <cell r="C218">
            <v>5354</v>
          </cell>
          <cell r="D218" t="str">
            <v>Core</v>
          </cell>
          <cell r="E218" t="str">
            <v>Platinum</v>
          </cell>
          <cell r="F218" t="str">
            <v>Platinum</v>
          </cell>
          <cell r="G218" t="str">
            <v>Core</v>
          </cell>
          <cell r="H218" t="str">
            <v>SG_01_01 Sun Glass Hut_Platinum_OWNED</v>
          </cell>
          <cell r="I218" t="str">
            <v>0000005354 St John's Town Center</v>
          </cell>
          <cell r="J218" t="str">
            <v>Platinum - No CH</v>
          </cell>
          <cell r="K218">
            <v>0</v>
          </cell>
        </row>
        <row r="219">
          <cell r="C219">
            <v>5355</v>
          </cell>
          <cell r="D219" t="str">
            <v>Core</v>
          </cell>
          <cell r="E219" t="str">
            <v>Platinum</v>
          </cell>
          <cell r="F219" t="str">
            <v>Platinum</v>
          </cell>
          <cell r="G219" t="str">
            <v>Core</v>
          </cell>
          <cell r="H219" t="str">
            <v>SG_01_01 Sun Glass Hut_Platinum_OWNED</v>
          </cell>
          <cell r="I219" t="str">
            <v>0000005355 Miami Int'l Airport</v>
          </cell>
          <cell r="J219" t="str">
            <v>Platinum - No CH</v>
          </cell>
          <cell r="K219">
            <v>0</v>
          </cell>
        </row>
        <row r="220">
          <cell r="C220">
            <v>5358</v>
          </cell>
          <cell r="D220" t="str">
            <v>Core</v>
          </cell>
          <cell r="E220" t="str">
            <v>Platinum</v>
          </cell>
          <cell r="F220" t="str">
            <v>Platinum</v>
          </cell>
          <cell r="G220" t="str">
            <v>Core</v>
          </cell>
          <cell r="H220" t="str">
            <v>SG_01_01 Sun Glass Hut_Platinum_OWNED</v>
          </cell>
          <cell r="I220" t="str">
            <v>0000005358 Greenwich Ave</v>
          </cell>
          <cell r="J220" t="str">
            <v>Platinum - CH</v>
          </cell>
          <cell r="K220">
            <v>0</v>
          </cell>
        </row>
        <row r="221">
          <cell r="C221">
            <v>5371</v>
          </cell>
          <cell r="D221" t="str">
            <v>Core</v>
          </cell>
          <cell r="E221" t="str">
            <v>Platinum</v>
          </cell>
          <cell r="F221" t="str">
            <v>Platinum</v>
          </cell>
          <cell r="G221" t="str">
            <v>Core</v>
          </cell>
          <cell r="H221" t="str">
            <v>SG_01_01 Sun Glass Hut_Platinum_OWNED</v>
          </cell>
          <cell r="I221" t="str">
            <v>0000005371 Four Seasons Town Centre</v>
          </cell>
          <cell r="J221" t="str">
            <v>Platinum - No CH</v>
          </cell>
          <cell r="K221">
            <v>0</v>
          </cell>
        </row>
        <row r="222">
          <cell r="C222">
            <v>5525</v>
          </cell>
          <cell r="D222" t="str">
            <v>Core</v>
          </cell>
          <cell r="E222" t="str">
            <v>Platinum</v>
          </cell>
          <cell r="F222" t="str">
            <v>Platinum</v>
          </cell>
          <cell r="G222" t="str">
            <v>Core</v>
          </cell>
          <cell r="H222" t="str">
            <v>SG_01_01 Sun Glass Hut_Platinum_OWNED</v>
          </cell>
          <cell r="I222" t="str">
            <v>0000005525 Bleeker St</v>
          </cell>
          <cell r="J222" t="str">
            <v>Platinum - No CH</v>
          </cell>
          <cell r="K222">
            <v>0</v>
          </cell>
        </row>
        <row r="223">
          <cell r="C223">
            <v>5529</v>
          </cell>
          <cell r="D223" t="str">
            <v>Core</v>
          </cell>
          <cell r="E223" t="str">
            <v>Platinum</v>
          </cell>
          <cell r="F223" t="str">
            <v>Platinum</v>
          </cell>
          <cell r="G223" t="str">
            <v>Core</v>
          </cell>
          <cell r="H223" t="str">
            <v>SG_01_01 Sun Glass Hut_Platinum_OWNED</v>
          </cell>
          <cell r="I223" t="str">
            <v>0000005529 Easton Town Center</v>
          </cell>
          <cell r="J223" t="str">
            <v>Platinum - CH</v>
          </cell>
          <cell r="K223">
            <v>0</v>
          </cell>
        </row>
        <row r="224">
          <cell r="C224">
            <v>5534</v>
          </cell>
          <cell r="D224" t="str">
            <v>Core</v>
          </cell>
          <cell r="E224" t="str">
            <v>Platinum</v>
          </cell>
          <cell r="F224" t="str">
            <v>Platinum</v>
          </cell>
          <cell r="G224" t="str">
            <v>Core</v>
          </cell>
          <cell r="H224" t="str">
            <v>SG_01_01 Sun Glass Hut_Platinum_OWNED</v>
          </cell>
          <cell r="I224" t="str">
            <v>0000005534 Kalakaua Ave</v>
          </cell>
          <cell r="J224" t="str">
            <v>Platinum - No CH</v>
          </cell>
          <cell r="K224">
            <v>0</v>
          </cell>
        </row>
        <row r="225">
          <cell r="C225">
            <v>5543</v>
          </cell>
          <cell r="D225" t="str">
            <v>Core</v>
          </cell>
          <cell r="E225" t="str">
            <v>Platinum</v>
          </cell>
          <cell r="F225" t="str">
            <v>Platinum</v>
          </cell>
          <cell r="G225" t="str">
            <v>Core</v>
          </cell>
          <cell r="H225" t="str">
            <v>SG_01_01 Sun Glass Hut_Platinum_OWNED</v>
          </cell>
          <cell r="I225" t="str">
            <v>0000005543 The Shops at Wailea</v>
          </cell>
          <cell r="J225" t="str">
            <v>Platinum - CH</v>
          </cell>
          <cell r="K225">
            <v>0</v>
          </cell>
        </row>
        <row r="226">
          <cell r="C226">
            <v>5547</v>
          </cell>
          <cell r="D226" t="str">
            <v>Core</v>
          </cell>
          <cell r="E226" t="str">
            <v>Platinum</v>
          </cell>
          <cell r="F226" t="str">
            <v>Platinum</v>
          </cell>
          <cell r="G226" t="str">
            <v>Core</v>
          </cell>
          <cell r="H226" t="str">
            <v>SG_01_01 Sun Glass Hut_Platinum_OWNED</v>
          </cell>
          <cell r="I226" t="str">
            <v>0000005547 San Francisco Int'l Airport</v>
          </cell>
          <cell r="J226" t="str">
            <v>Platinum - No CH</v>
          </cell>
          <cell r="K226">
            <v>0</v>
          </cell>
        </row>
        <row r="227">
          <cell r="C227">
            <v>5551</v>
          </cell>
          <cell r="D227" t="str">
            <v>Core</v>
          </cell>
          <cell r="E227" t="str">
            <v>Platinum</v>
          </cell>
          <cell r="F227" t="str">
            <v>Platinum</v>
          </cell>
          <cell r="G227" t="str">
            <v>Core</v>
          </cell>
          <cell r="H227" t="str">
            <v>SG_01_01 Sun Glass Hut_Platinum_OWNED</v>
          </cell>
          <cell r="I227" t="str">
            <v>0000005551 Denver Int'l Airport</v>
          </cell>
          <cell r="J227" t="str">
            <v>Platinum - No CH</v>
          </cell>
          <cell r="K227">
            <v>0</v>
          </cell>
        </row>
        <row r="228">
          <cell r="C228">
            <v>5559</v>
          </cell>
          <cell r="D228" t="str">
            <v>Core</v>
          </cell>
          <cell r="E228" t="str">
            <v>Platinum</v>
          </cell>
          <cell r="F228" t="str">
            <v>Platinum</v>
          </cell>
          <cell r="G228" t="str">
            <v>Core</v>
          </cell>
          <cell r="H228" t="str">
            <v>SG_01_01 Sun Glass Hut_Platinum_OWNED</v>
          </cell>
          <cell r="I228" t="str">
            <v>0000005559 CrossIron Mills</v>
          </cell>
          <cell r="J228" t="str">
            <v>Platinum - No CH</v>
          </cell>
          <cell r="K228">
            <v>0</v>
          </cell>
        </row>
        <row r="229">
          <cell r="C229">
            <v>5564</v>
          </cell>
          <cell r="D229" t="str">
            <v>Core</v>
          </cell>
          <cell r="E229" t="str">
            <v>Platinum</v>
          </cell>
          <cell r="F229" t="str">
            <v>Platinum</v>
          </cell>
          <cell r="G229" t="str">
            <v>Core</v>
          </cell>
          <cell r="H229" t="str">
            <v>SG_01_01 Sun Glass Hut_Platinum_OWNED</v>
          </cell>
          <cell r="I229" t="str">
            <v>0000005564 Orlando Int'l Airport</v>
          </cell>
          <cell r="J229" t="str">
            <v>Platinum - No CH</v>
          </cell>
          <cell r="K229">
            <v>0</v>
          </cell>
        </row>
        <row r="230">
          <cell r="C230">
            <v>5566</v>
          </cell>
          <cell r="D230" t="str">
            <v>Core</v>
          </cell>
          <cell r="E230" t="str">
            <v>Platinum</v>
          </cell>
          <cell r="F230" t="str">
            <v>Platinum - Flg</v>
          </cell>
          <cell r="G230" t="str">
            <v>Core</v>
          </cell>
          <cell r="H230" t="str">
            <v>SG_01_01 Sun Glass Hut_Platinum_OWNED</v>
          </cell>
          <cell r="I230" t="str">
            <v>0000005566 Times Square</v>
          </cell>
          <cell r="J230" t="str">
            <v>Platinum - CH</v>
          </cell>
          <cell r="K230" t="str">
            <v>Flagship</v>
          </cell>
        </row>
        <row r="231">
          <cell r="C231">
            <v>5691</v>
          </cell>
          <cell r="D231" t="str">
            <v>Core</v>
          </cell>
          <cell r="E231" t="str">
            <v>Platinum</v>
          </cell>
          <cell r="F231" t="str">
            <v>Platinum</v>
          </cell>
          <cell r="G231" t="str">
            <v>Core</v>
          </cell>
          <cell r="H231" t="str">
            <v>SG_01_01 Sun Glass Hut_Platinum_OWNED</v>
          </cell>
          <cell r="I231" t="str">
            <v>0000005691 Valley Fair Mall</v>
          </cell>
          <cell r="J231" t="str">
            <v>Platinum - No CH</v>
          </cell>
          <cell r="K231">
            <v>0</v>
          </cell>
        </row>
        <row r="232">
          <cell r="C232">
            <v>5692</v>
          </cell>
          <cell r="D232" t="str">
            <v>Core</v>
          </cell>
          <cell r="E232" t="str">
            <v>Platinum</v>
          </cell>
          <cell r="F232" t="str">
            <v>Platinum</v>
          </cell>
          <cell r="G232" t="str">
            <v>Core</v>
          </cell>
          <cell r="H232" t="str">
            <v>SG_01_01 Sun Glass Hut_Platinum_OWNED</v>
          </cell>
          <cell r="I232" t="str">
            <v>0000005692 Menlo Park Mall</v>
          </cell>
          <cell r="J232" t="str">
            <v>Platinum - No CH</v>
          </cell>
          <cell r="K232">
            <v>0</v>
          </cell>
        </row>
        <row r="233">
          <cell r="C233">
            <v>5694</v>
          </cell>
          <cell r="D233" t="str">
            <v>Core</v>
          </cell>
          <cell r="E233" t="str">
            <v>Platinum</v>
          </cell>
          <cell r="F233" t="str">
            <v>Platinum</v>
          </cell>
          <cell r="G233" t="str">
            <v>Core</v>
          </cell>
          <cell r="H233" t="str">
            <v>SG_01_01 Sun Glass Hut_Platinum_OWNED</v>
          </cell>
          <cell r="I233" t="str">
            <v>0000005694 The Village at Corte Madera</v>
          </cell>
          <cell r="J233" t="str">
            <v>Platinum - CH</v>
          </cell>
          <cell r="K233">
            <v>0</v>
          </cell>
        </row>
        <row r="234">
          <cell r="C234">
            <v>5697</v>
          </cell>
          <cell r="D234" t="str">
            <v>Core</v>
          </cell>
          <cell r="E234" t="str">
            <v>Platinum</v>
          </cell>
          <cell r="F234" t="str">
            <v>Platinum</v>
          </cell>
          <cell r="G234" t="str">
            <v>Core</v>
          </cell>
          <cell r="H234" t="str">
            <v>SG_01_01 Sun Glass Hut_Platinum_OWNED</v>
          </cell>
          <cell r="I234" t="str">
            <v>0000005697 Topanga Plaza</v>
          </cell>
          <cell r="J234" t="str">
            <v>Platinum - No CH</v>
          </cell>
          <cell r="K234">
            <v>0</v>
          </cell>
        </row>
        <row r="235">
          <cell r="C235">
            <v>5699</v>
          </cell>
          <cell r="D235" t="str">
            <v>Core</v>
          </cell>
          <cell r="E235" t="str">
            <v>Platinum</v>
          </cell>
          <cell r="F235" t="str">
            <v>Platinum</v>
          </cell>
          <cell r="G235" t="str">
            <v>Core</v>
          </cell>
          <cell r="H235" t="str">
            <v>SG_01_01 Sun Glass Hut_Platinum_OWNED</v>
          </cell>
          <cell r="I235" t="str">
            <v>0000005699 Cherry Creek Shopping Center</v>
          </cell>
          <cell r="J235" t="str">
            <v>Platinum - No CH</v>
          </cell>
          <cell r="K235">
            <v>0</v>
          </cell>
        </row>
        <row r="236">
          <cell r="C236">
            <v>5700</v>
          </cell>
          <cell r="D236" t="str">
            <v>Core</v>
          </cell>
          <cell r="E236" t="str">
            <v>Platinum</v>
          </cell>
          <cell r="F236" t="str">
            <v>Platinum</v>
          </cell>
          <cell r="G236" t="str">
            <v>Core</v>
          </cell>
          <cell r="H236" t="str">
            <v>SG_01_01 Sun Glass Hut_Platinum_OWNED</v>
          </cell>
          <cell r="I236" t="str">
            <v>0000005700 The Pier Shops at Caesars</v>
          </cell>
          <cell r="J236" t="str">
            <v>Platinum - No CH</v>
          </cell>
          <cell r="K236">
            <v>0</v>
          </cell>
        </row>
        <row r="237">
          <cell r="C237">
            <v>5702</v>
          </cell>
          <cell r="D237" t="str">
            <v>Core</v>
          </cell>
          <cell r="E237" t="str">
            <v>Platinum</v>
          </cell>
          <cell r="F237" t="str">
            <v>Platinum</v>
          </cell>
          <cell r="G237" t="str">
            <v>Core</v>
          </cell>
          <cell r="H237" t="str">
            <v>SG_01_01 Sun Glass Hut_Platinum_OWNED</v>
          </cell>
          <cell r="I237" t="str">
            <v>0000005702 Fashion Valley</v>
          </cell>
          <cell r="J237" t="str">
            <v>Platinum - CH</v>
          </cell>
          <cell r="K237" t="str">
            <v>Top Tier</v>
          </cell>
        </row>
        <row r="238">
          <cell r="C238">
            <v>5704</v>
          </cell>
          <cell r="D238" t="str">
            <v>Core</v>
          </cell>
          <cell r="E238" t="str">
            <v>Platinum</v>
          </cell>
          <cell r="F238" t="str">
            <v>Platinum</v>
          </cell>
          <cell r="G238" t="str">
            <v>Core</v>
          </cell>
          <cell r="H238" t="str">
            <v>SG_01_01 Sun Glass Hut_Platinum_OWNED</v>
          </cell>
          <cell r="I238" t="str">
            <v>0000005704 Southgate Centre</v>
          </cell>
          <cell r="J238" t="str">
            <v>Platinum - No CH</v>
          </cell>
          <cell r="K238">
            <v>0</v>
          </cell>
        </row>
        <row r="239">
          <cell r="C239">
            <v>5706</v>
          </cell>
          <cell r="D239" t="str">
            <v>Core</v>
          </cell>
          <cell r="E239" t="str">
            <v>Platinum</v>
          </cell>
          <cell r="F239" t="str">
            <v>Platinum</v>
          </cell>
          <cell r="G239" t="str">
            <v>Core</v>
          </cell>
          <cell r="H239" t="str">
            <v>SG_01_01 Sun Glass Hut_Platinum_OWNED</v>
          </cell>
          <cell r="I239" t="str">
            <v>0000005706 Philadelphia Int'l Airport</v>
          </cell>
          <cell r="J239" t="str">
            <v>Platinum - No CH</v>
          </cell>
          <cell r="K239">
            <v>0</v>
          </cell>
        </row>
        <row r="240">
          <cell r="C240">
            <v>5711</v>
          </cell>
          <cell r="D240" t="str">
            <v>Core</v>
          </cell>
          <cell r="E240" t="str">
            <v>Platinum</v>
          </cell>
          <cell r="F240" t="str">
            <v>Platinum</v>
          </cell>
          <cell r="G240" t="str">
            <v>Core</v>
          </cell>
          <cell r="H240" t="str">
            <v>SG_01_01 Sun Glass Hut_Platinum_OWNED</v>
          </cell>
          <cell r="I240" t="str">
            <v>0000005711 Tysons Corner Center</v>
          </cell>
          <cell r="J240" t="str">
            <v>Platinum - No CH</v>
          </cell>
          <cell r="K240">
            <v>0</v>
          </cell>
        </row>
        <row r="241">
          <cell r="C241">
            <v>5712</v>
          </cell>
          <cell r="D241" t="str">
            <v>Core</v>
          </cell>
          <cell r="E241" t="str">
            <v>Platinum</v>
          </cell>
          <cell r="F241" t="str">
            <v>Platinum</v>
          </cell>
          <cell r="G241" t="str">
            <v>Core</v>
          </cell>
          <cell r="H241" t="str">
            <v>SG_01_01 Sun Glass Hut_Platinum_OWNED</v>
          </cell>
          <cell r="I241" t="str">
            <v>0000005712 Park Meadows Mall</v>
          </cell>
          <cell r="J241" t="str">
            <v>Platinum - No CH</v>
          </cell>
          <cell r="K241">
            <v>0</v>
          </cell>
        </row>
        <row r="242">
          <cell r="C242">
            <v>5715</v>
          </cell>
          <cell r="D242" t="str">
            <v>Core</v>
          </cell>
          <cell r="E242" t="str">
            <v>Platinum</v>
          </cell>
          <cell r="F242" t="str">
            <v>Platinum</v>
          </cell>
          <cell r="G242" t="str">
            <v>Core</v>
          </cell>
          <cell r="H242" t="str">
            <v>SG_01_01 Sun Glass Hut_Platinum_OWNED</v>
          </cell>
          <cell r="I242" t="str">
            <v>0000005715 Polo Park</v>
          </cell>
          <cell r="J242" t="str">
            <v>Platinum - No CH</v>
          </cell>
          <cell r="K242">
            <v>0</v>
          </cell>
        </row>
        <row r="243">
          <cell r="C243">
            <v>5721</v>
          </cell>
          <cell r="D243" t="str">
            <v>Core</v>
          </cell>
          <cell r="E243" t="str">
            <v>Platinum</v>
          </cell>
          <cell r="F243" t="str">
            <v>Platinum</v>
          </cell>
          <cell r="G243" t="str">
            <v>Core</v>
          </cell>
          <cell r="H243" t="str">
            <v>SG_01_01 Sun Glass Hut_Platinum_OWNED</v>
          </cell>
          <cell r="I243" t="str">
            <v>0000005721 The Fashion Mall at Keystone</v>
          </cell>
          <cell r="J243" t="str">
            <v>Platinum - CH</v>
          </cell>
          <cell r="K243">
            <v>0</v>
          </cell>
        </row>
        <row r="244">
          <cell r="C244">
            <v>5749</v>
          </cell>
          <cell r="D244" t="str">
            <v>Core</v>
          </cell>
          <cell r="E244" t="str">
            <v>Platinum</v>
          </cell>
          <cell r="F244" t="str">
            <v>Platinum</v>
          </cell>
          <cell r="G244" t="str">
            <v>Core</v>
          </cell>
          <cell r="H244" t="str">
            <v>SG_01_01 Sun Glass Hut_Platinum_OWNED</v>
          </cell>
          <cell r="I244" t="str">
            <v>0000005749 Scottsdale Quarter</v>
          </cell>
          <cell r="J244" t="str">
            <v>Platinum - No CH</v>
          </cell>
          <cell r="K244">
            <v>0</v>
          </cell>
        </row>
        <row r="245">
          <cell r="C245">
            <v>5751</v>
          </cell>
          <cell r="D245" t="str">
            <v>Core</v>
          </cell>
          <cell r="E245" t="str">
            <v>Platinum</v>
          </cell>
          <cell r="F245" t="str">
            <v>Platinum</v>
          </cell>
          <cell r="G245" t="str">
            <v>Core</v>
          </cell>
          <cell r="H245" t="str">
            <v>SG_01_01 Sun Glass Hut_Platinum_OWNED</v>
          </cell>
          <cell r="I245" t="str">
            <v>0000005751 Chinook Centre</v>
          </cell>
          <cell r="J245" t="str">
            <v>Platinum - No CH</v>
          </cell>
          <cell r="K245">
            <v>0</v>
          </cell>
        </row>
        <row r="246">
          <cell r="C246">
            <v>5758</v>
          </cell>
          <cell r="D246" t="str">
            <v>Core</v>
          </cell>
          <cell r="E246" t="str">
            <v>Platinum</v>
          </cell>
          <cell r="F246" t="str">
            <v>Platinum</v>
          </cell>
          <cell r="G246" t="str">
            <v>Core</v>
          </cell>
          <cell r="H246" t="str">
            <v>SG_01_01 Sun Glass Hut_Platinum_OWNED</v>
          </cell>
          <cell r="I246" t="str">
            <v>0000005758 Water Tower Place</v>
          </cell>
          <cell r="J246" t="str">
            <v>Platinum - No CH</v>
          </cell>
          <cell r="K246">
            <v>0</v>
          </cell>
        </row>
        <row r="247">
          <cell r="C247">
            <v>5759</v>
          </cell>
          <cell r="D247" t="str">
            <v>Core</v>
          </cell>
          <cell r="E247" t="str">
            <v>Platinum</v>
          </cell>
          <cell r="F247" t="str">
            <v>Platinum</v>
          </cell>
          <cell r="G247" t="str">
            <v>Core</v>
          </cell>
          <cell r="H247" t="str">
            <v>SG_01_01 Sun Glass Hut_Platinum_OWNED</v>
          </cell>
          <cell r="I247" t="str">
            <v>0000005759 The Shops at La Cantera</v>
          </cell>
          <cell r="J247" t="str">
            <v>Platinum - No CH</v>
          </cell>
          <cell r="K247">
            <v>0</v>
          </cell>
        </row>
        <row r="248">
          <cell r="C248">
            <v>5816</v>
          </cell>
          <cell r="D248" t="str">
            <v>Core</v>
          </cell>
          <cell r="E248" t="str">
            <v>Platinum</v>
          </cell>
          <cell r="F248" t="str">
            <v>Platinum</v>
          </cell>
          <cell r="G248" t="str">
            <v>Core</v>
          </cell>
          <cell r="H248" t="str">
            <v>SG_01_01 Sun Glass Hut_Platinum_OWNED</v>
          </cell>
          <cell r="I248" t="str">
            <v>0000005816 Perimeter Mall</v>
          </cell>
          <cell r="J248" t="str">
            <v>Platinum - No CH</v>
          </cell>
          <cell r="K248">
            <v>0</v>
          </cell>
        </row>
        <row r="249">
          <cell r="C249">
            <v>6048</v>
          </cell>
          <cell r="D249" t="str">
            <v>Core</v>
          </cell>
          <cell r="E249" t="str">
            <v>Platinum</v>
          </cell>
          <cell r="F249" t="str">
            <v>Platinum</v>
          </cell>
          <cell r="G249" t="str">
            <v>Core</v>
          </cell>
          <cell r="H249" t="str">
            <v>SG_01_01 Sun Glass Hut_Platinum_OWNED</v>
          </cell>
          <cell r="I249" t="str">
            <v>0000006048 S Robertson Blvd</v>
          </cell>
          <cell r="J249" t="str">
            <v>Platinum - CH</v>
          </cell>
          <cell r="K249">
            <v>0</v>
          </cell>
        </row>
        <row r="250">
          <cell r="C250">
            <v>6049</v>
          </cell>
          <cell r="D250" t="str">
            <v>Core</v>
          </cell>
          <cell r="E250" t="str">
            <v>Platinum</v>
          </cell>
          <cell r="F250" t="str">
            <v>Platinum</v>
          </cell>
          <cell r="G250" t="str">
            <v>Core</v>
          </cell>
          <cell r="H250" t="str">
            <v>SG_01_01 Sun Glass Hut_Platinum_OWNED</v>
          </cell>
          <cell r="I250" t="str">
            <v>0000006049 Worth Ave</v>
          </cell>
          <cell r="J250" t="str">
            <v>Platinum - CH</v>
          </cell>
          <cell r="K250">
            <v>0</v>
          </cell>
        </row>
        <row r="251">
          <cell r="C251">
            <v>6078</v>
          </cell>
          <cell r="D251" t="str">
            <v>Core</v>
          </cell>
          <cell r="E251" t="str">
            <v>Platinum</v>
          </cell>
          <cell r="F251" t="str">
            <v>Platinum</v>
          </cell>
          <cell r="G251" t="str">
            <v>Core</v>
          </cell>
          <cell r="H251" t="str">
            <v>SG_01_01 Sun Glass Hut_Platinum_OWNED</v>
          </cell>
          <cell r="I251" t="str">
            <v>0000006078 La Plaza Mall</v>
          </cell>
          <cell r="J251" t="str">
            <v>Platinum - No CH</v>
          </cell>
          <cell r="K251">
            <v>0</v>
          </cell>
        </row>
        <row r="252">
          <cell r="C252">
            <v>6079</v>
          </cell>
          <cell r="D252" t="str">
            <v>Core</v>
          </cell>
          <cell r="E252" t="str">
            <v>Platinum</v>
          </cell>
          <cell r="F252" t="str">
            <v>Platinum</v>
          </cell>
          <cell r="G252" t="str">
            <v>Core</v>
          </cell>
          <cell r="H252" t="str">
            <v>SG_01_01 Sun Glass Hut_Platinum_OWNED</v>
          </cell>
          <cell r="I252" t="str">
            <v>0000006079 La Plaza Mall</v>
          </cell>
          <cell r="J252" t="str">
            <v>Platinum - CH</v>
          </cell>
          <cell r="K252">
            <v>0</v>
          </cell>
        </row>
        <row r="253">
          <cell r="C253">
            <v>6083</v>
          </cell>
          <cell r="D253" t="str">
            <v>Core</v>
          </cell>
          <cell r="E253" t="str">
            <v>Platinum</v>
          </cell>
          <cell r="F253" t="str">
            <v>Platinum</v>
          </cell>
          <cell r="G253" t="str">
            <v>Core</v>
          </cell>
          <cell r="H253" t="str">
            <v>SG_01_01 Sun Glass Hut_Platinum_OWNED</v>
          </cell>
          <cell r="I253" t="str">
            <v>0000006083 Brea Mall</v>
          </cell>
          <cell r="J253" t="str">
            <v>Platinum - No CH</v>
          </cell>
          <cell r="K253">
            <v>0</v>
          </cell>
        </row>
        <row r="254">
          <cell r="C254">
            <v>6092</v>
          </cell>
          <cell r="D254" t="str">
            <v>Core</v>
          </cell>
          <cell r="E254" t="str">
            <v>Platinum</v>
          </cell>
          <cell r="F254" t="str">
            <v>Platinum</v>
          </cell>
          <cell r="G254" t="str">
            <v>Core</v>
          </cell>
          <cell r="H254" t="str">
            <v>SG_01_01 Sun Glass Hut_Platinum_OWNED</v>
          </cell>
          <cell r="I254" t="str">
            <v>0000006092 Victoria Gardens</v>
          </cell>
          <cell r="J254" t="str">
            <v>Platinum - No CH</v>
          </cell>
          <cell r="K254">
            <v>0</v>
          </cell>
        </row>
        <row r="255">
          <cell r="C255">
            <v>6098</v>
          </cell>
          <cell r="D255" t="str">
            <v>Core</v>
          </cell>
          <cell r="E255" t="str">
            <v>Platinum</v>
          </cell>
          <cell r="F255" t="str">
            <v>Platinum</v>
          </cell>
          <cell r="G255" t="str">
            <v>Core</v>
          </cell>
          <cell r="H255" t="str">
            <v>SG_01_01 Sun Glass Hut_Platinum_OWNED</v>
          </cell>
          <cell r="I255" t="str">
            <v>0000006098 Ala Moana Center</v>
          </cell>
          <cell r="J255" t="str">
            <v>Platinum - No CH</v>
          </cell>
          <cell r="K255" t="str">
            <v>Top Tier</v>
          </cell>
        </row>
        <row r="256">
          <cell r="C256">
            <v>6125</v>
          </cell>
          <cell r="D256" t="str">
            <v>Core</v>
          </cell>
          <cell r="E256" t="str">
            <v>Platinum</v>
          </cell>
          <cell r="F256" t="str">
            <v>Platinum</v>
          </cell>
          <cell r="G256" t="str">
            <v>Core</v>
          </cell>
          <cell r="H256" t="str">
            <v>SG_01_01 Sun Glass Hut_Platinum_OWNED</v>
          </cell>
          <cell r="I256" t="str">
            <v>0000006125 Plaza Las Americas</v>
          </cell>
          <cell r="J256" t="str">
            <v>Platinum - CH</v>
          </cell>
          <cell r="K256">
            <v>0</v>
          </cell>
        </row>
        <row r="257">
          <cell r="C257">
            <v>6126</v>
          </cell>
          <cell r="D257" t="str">
            <v>Core</v>
          </cell>
          <cell r="E257" t="str">
            <v>Platinum</v>
          </cell>
          <cell r="F257" t="str">
            <v>Platinum</v>
          </cell>
          <cell r="G257" t="str">
            <v>Core</v>
          </cell>
          <cell r="H257" t="str">
            <v>SG_01_01 Sun Glass Hut_Platinum_OWNED</v>
          </cell>
          <cell r="I257" t="str">
            <v>0000006126 Royal Hawaiian Center Building</v>
          </cell>
          <cell r="J257" t="str">
            <v>Platinum - No CH</v>
          </cell>
          <cell r="K257">
            <v>0</v>
          </cell>
        </row>
        <row r="258">
          <cell r="C258">
            <v>6139</v>
          </cell>
          <cell r="D258" t="str">
            <v>Core</v>
          </cell>
          <cell r="E258" t="str">
            <v>Platinum</v>
          </cell>
          <cell r="F258" t="str">
            <v>Platinum</v>
          </cell>
          <cell r="G258" t="str">
            <v>Core</v>
          </cell>
          <cell r="H258" t="str">
            <v>SG_01_01 Sun Glass Hut_Platinum_OWNED</v>
          </cell>
          <cell r="I258" t="str">
            <v>0000006139 The Domain</v>
          </cell>
          <cell r="J258" t="str">
            <v>Platinum - No CH</v>
          </cell>
          <cell r="K258">
            <v>0</v>
          </cell>
        </row>
        <row r="259">
          <cell r="C259">
            <v>7356</v>
          </cell>
          <cell r="D259" t="str">
            <v>Core</v>
          </cell>
          <cell r="E259" t="str">
            <v>Platinum</v>
          </cell>
          <cell r="F259" t="str">
            <v>Platinum - Flg</v>
          </cell>
          <cell r="G259" t="str">
            <v>Core</v>
          </cell>
          <cell r="H259" t="str">
            <v>SG_01_01 Sun Glass Hut_Platinum_OWNED</v>
          </cell>
          <cell r="I259" t="str">
            <v>0000007356 Soho at Broome</v>
          </cell>
          <cell r="J259" t="str">
            <v>Platinum - CH</v>
          </cell>
          <cell r="K259" t="str">
            <v>Flagship</v>
          </cell>
        </row>
        <row r="260">
          <cell r="C260">
            <v>7663</v>
          </cell>
          <cell r="D260" t="str">
            <v>Core</v>
          </cell>
          <cell r="E260" t="str">
            <v>Platinum</v>
          </cell>
          <cell r="F260" t="str">
            <v>Platinum</v>
          </cell>
          <cell r="G260" t="str">
            <v>Core</v>
          </cell>
          <cell r="H260" t="str">
            <v>SG_01_01 Sun Glass Hut_Platinum_OWNED</v>
          </cell>
          <cell r="I260" t="str">
            <v>0000007663 Fashion Show Mall</v>
          </cell>
          <cell r="J260" t="str">
            <v>Platinum - No CH</v>
          </cell>
          <cell r="K260">
            <v>0</v>
          </cell>
        </row>
        <row r="261">
          <cell r="C261">
            <v>7671</v>
          </cell>
          <cell r="D261" t="str">
            <v>Core</v>
          </cell>
          <cell r="E261" t="str">
            <v>Platinum</v>
          </cell>
          <cell r="F261" t="str">
            <v>Platinum</v>
          </cell>
          <cell r="G261" t="str">
            <v>Core</v>
          </cell>
          <cell r="H261" t="str">
            <v>SG_01_01 Sun Glass Hut_Platinum_OWNED</v>
          </cell>
          <cell r="I261" t="str">
            <v>0000007671 Town Square</v>
          </cell>
          <cell r="J261" t="str">
            <v>Platinum - No CH</v>
          </cell>
          <cell r="K261">
            <v>0</v>
          </cell>
        </row>
        <row r="262">
          <cell r="C262">
            <v>383</v>
          </cell>
          <cell r="D262" t="str">
            <v>Core</v>
          </cell>
          <cell r="E262" t="str">
            <v>Gold</v>
          </cell>
          <cell r="F262" t="str">
            <v>Gold Inline</v>
          </cell>
          <cell r="G262" t="str">
            <v>Core</v>
          </cell>
          <cell r="H262" t="str">
            <v>SG_02_01 Sun Glass Hut_Gold_OWNED</v>
          </cell>
          <cell r="I262" t="str">
            <v>0000000383 Perimeter Mall</v>
          </cell>
          <cell r="J262" t="str">
            <v>Gold Inline</v>
          </cell>
          <cell r="K262">
            <v>0</v>
          </cell>
        </row>
        <row r="263">
          <cell r="C263">
            <v>973</v>
          </cell>
          <cell r="D263" t="str">
            <v>Core</v>
          </cell>
          <cell r="E263" t="str">
            <v>Gold</v>
          </cell>
          <cell r="F263" t="str">
            <v>Gold Inline</v>
          </cell>
          <cell r="G263" t="str">
            <v>Core</v>
          </cell>
          <cell r="H263" t="str">
            <v>SG_02_01 Sun Glass Hut_Gold_OWNED</v>
          </cell>
          <cell r="I263" t="str">
            <v>0000000973 A H Riise</v>
          </cell>
          <cell r="J263" t="str">
            <v>Gold Inline</v>
          </cell>
          <cell r="K263">
            <v>0</v>
          </cell>
        </row>
        <row r="264">
          <cell r="C264">
            <v>1197</v>
          </cell>
          <cell r="D264" t="str">
            <v>Core</v>
          </cell>
          <cell r="E264" t="str">
            <v>Gold</v>
          </cell>
          <cell r="F264" t="str">
            <v>Gold Inline</v>
          </cell>
          <cell r="G264" t="str">
            <v>Core</v>
          </cell>
          <cell r="H264" t="str">
            <v>SG_02_01 Sun Glass Hut_Gold_OWNED</v>
          </cell>
          <cell r="I264" t="str">
            <v>0000001197 First Colony Mall</v>
          </cell>
          <cell r="J264" t="str">
            <v>Gold Inline</v>
          </cell>
          <cell r="K264">
            <v>0</v>
          </cell>
        </row>
        <row r="265">
          <cell r="C265">
            <v>1252</v>
          </cell>
          <cell r="D265" t="str">
            <v>Core</v>
          </cell>
          <cell r="E265" t="str">
            <v>Gold</v>
          </cell>
          <cell r="F265" t="str">
            <v>Gold Inline</v>
          </cell>
          <cell r="G265" t="str">
            <v>Core</v>
          </cell>
          <cell r="H265" t="str">
            <v>SG_02_01 Sun Glass Hut_Gold_OWNED</v>
          </cell>
          <cell r="I265" t="str">
            <v>0000001252 South Bay Galleria</v>
          </cell>
          <cell r="J265" t="str">
            <v>Gold Inline</v>
          </cell>
          <cell r="K265">
            <v>0</v>
          </cell>
        </row>
        <row r="266">
          <cell r="C266">
            <v>1260</v>
          </cell>
          <cell r="D266" t="str">
            <v>Core</v>
          </cell>
          <cell r="E266" t="str">
            <v>Gold</v>
          </cell>
          <cell r="F266" t="str">
            <v>Gold Kiosk</v>
          </cell>
          <cell r="G266" t="str">
            <v>Core</v>
          </cell>
          <cell r="H266" t="str">
            <v>SG_02_01 Sun Glass Hut_Gold_OWNED</v>
          </cell>
          <cell r="I266" t="str">
            <v>0000001260 Montgomery Mall</v>
          </cell>
          <cell r="J266" t="str">
            <v>Gold Kiosk</v>
          </cell>
          <cell r="K266">
            <v>0</v>
          </cell>
        </row>
        <row r="267">
          <cell r="C267">
            <v>1263</v>
          </cell>
          <cell r="D267" t="str">
            <v>Core</v>
          </cell>
          <cell r="E267" t="str">
            <v>Gold</v>
          </cell>
          <cell r="F267" t="str">
            <v>Gold Inline</v>
          </cell>
          <cell r="G267" t="str">
            <v>Core</v>
          </cell>
          <cell r="H267" t="str">
            <v>SG_02_01 Sun Glass Hut_Gold_OWNED</v>
          </cell>
          <cell r="I267" t="str">
            <v>0000001263 Oakridge Centre</v>
          </cell>
          <cell r="J267" t="str">
            <v>Gold Inline</v>
          </cell>
          <cell r="K267">
            <v>0</v>
          </cell>
        </row>
        <row r="268">
          <cell r="C268">
            <v>1267</v>
          </cell>
          <cell r="D268" t="str">
            <v>Core</v>
          </cell>
          <cell r="E268" t="str">
            <v>Gold</v>
          </cell>
          <cell r="F268" t="str">
            <v>Gold Inline</v>
          </cell>
          <cell r="G268" t="str">
            <v>Core</v>
          </cell>
          <cell r="H268" t="str">
            <v>SG_02_01 Sun Glass Hut_Gold_OWNED</v>
          </cell>
          <cell r="I268" t="str">
            <v>0000001267 Haywood Mall</v>
          </cell>
          <cell r="J268" t="str">
            <v>Gold Inline</v>
          </cell>
          <cell r="K268">
            <v>0</v>
          </cell>
        </row>
        <row r="269">
          <cell r="C269">
            <v>1278</v>
          </cell>
          <cell r="D269" t="str">
            <v>Core</v>
          </cell>
          <cell r="E269" t="str">
            <v>Gold</v>
          </cell>
          <cell r="F269" t="str">
            <v>Gold Inline</v>
          </cell>
          <cell r="G269" t="str">
            <v>Core</v>
          </cell>
          <cell r="H269" t="str">
            <v>SG_02_01 Sun Glass Hut_Gold_OWNED</v>
          </cell>
          <cell r="I269" t="str">
            <v>0000001278 El Conquistador Resort</v>
          </cell>
          <cell r="J269" t="str">
            <v>Gold Inline</v>
          </cell>
          <cell r="K269">
            <v>0</v>
          </cell>
        </row>
        <row r="270">
          <cell r="C270">
            <v>1452</v>
          </cell>
          <cell r="D270" t="str">
            <v>Core</v>
          </cell>
          <cell r="E270" t="str">
            <v>Gold</v>
          </cell>
          <cell r="F270" t="str">
            <v>Gold Inline</v>
          </cell>
          <cell r="G270" t="str">
            <v>Core</v>
          </cell>
          <cell r="H270" t="str">
            <v>SG_02_01 Sun Glass Hut_Gold_OWNED</v>
          </cell>
          <cell r="I270" t="str">
            <v>0000001452 The Avenues</v>
          </cell>
          <cell r="J270" t="str">
            <v>Gold Inline</v>
          </cell>
          <cell r="K270">
            <v>0</v>
          </cell>
        </row>
        <row r="271">
          <cell r="C271">
            <v>1453</v>
          </cell>
          <cell r="D271" t="str">
            <v>Core</v>
          </cell>
          <cell r="E271" t="str">
            <v>Gold</v>
          </cell>
          <cell r="F271" t="str">
            <v>Gold Inline</v>
          </cell>
          <cell r="G271" t="str">
            <v>Core</v>
          </cell>
          <cell r="H271" t="str">
            <v>SG_02_01 Sun Glass Hut_Gold_OWNED</v>
          </cell>
          <cell r="I271" t="str">
            <v>0000001453 Coronado Center</v>
          </cell>
          <cell r="J271" t="str">
            <v>Gold Inline</v>
          </cell>
          <cell r="K271">
            <v>0</v>
          </cell>
        </row>
        <row r="272">
          <cell r="C272">
            <v>1500</v>
          </cell>
          <cell r="D272" t="str">
            <v>Core</v>
          </cell>
          <cell r="E272" t="str">
            <v>Gold</v>
          </cell>
          <cell r="F272" t="str">
            <v>Gold Inline</v>
          </cell>
          <cell r="G272" t="str">
            <v>Core</v>
          </cell>
          <cell r="H272" t="str">
            <v>SG_02_01 Sun Glass Hut_Gold_OWNED</v>
          </cell>
          <cell r="I272" t="str">
            <v>0000001500 Bramalea City Centre</v>
          </cell>
          <cell r="J272" t="str">
            <v>Gold Inline</v>
          </cell>
          <cell r="K272">
            <v>0</v>
          </cell>
        </row>
        <row r="273">
          <cell r="C273">
            <v>1505</v>
          </cell>
          <cell r="D273" t="str">
            <v>Core</v>
          </cell>
          <cell r="E273" t="str">
            <v>Gold</v>
          </cell>
          <cell r="F273" t="str">
            <v>Gold Inline</v>
          </cell>
          <cell r="G273" t="str">
            <v>Core</v>
          </cell>
          <cell r="H273" t="str">
            <v>SG_02_01 Sun Glass Hut_Gold_OWNED</v>
          </cell>
          <cell r="I273" t="str">
            <v>0000001505 Lakeline Mall</v>
          </cell>
          <cell r="J273" t="str">
            <v>Gold Inline</v>
          </cell>
          <cell r="K273">
            <v>0</v>
          </cell>
        </row>
        <row r="274">
          <cell r="C274">
            <v>1508</v>
          </cell>
          <cell r="D274" t="str">
            <v>Core</v>
          </cell>
          <cell r="E274" t="str">
            <v>Gold</v>
          </cell>
          <cell r="F274" t="str">
            <v>Gold Inline</v>
          </cell>
          <cell r="G274" t="str">
            <v>Core</v>
          </cell>
          <cell r="H274" t="str">
            <v>SG_02_01 Sun Glass Hut_Gold_OWNED</v>
          </cell>
          <cell r="I274" t="str">
            <v>0000001508 Vista Ridge Mall</v>
          </cell>
          <cell r="J274" t="str">
            <v>Gold Inline</v>
          </cell>
          <cell r="K274">
            <v>0</v>
          </cell>
        </row>
        <row r="275">
          <cell r="C275">
            <v>1537</v>
          </cell>
          <cell r="D275" t="str">
            <v>Core</v>
          </cell>
          <cell r="E275" t="str">
            <v>Gold</v>
          </cell>
          <cell r="F275" t="str">
            <v>Gold Inline</v>
          </cell>
          <cell r="G275" t="str">
            <v>Core</v>
          </cell>
          <cell r="H275" t="str">
            <v>SG_02_01 Sun Glass Hut_Gold_OWNED</v>
          </cell>
          <cell r="I275" t="str">
            <v>0000001537 River Oaks Shopping Center</v>
          </cell>
          <cell r="J275" t="str">
            <v>Gold Inline</v>
          </cell>
          <cell r="K275">
            <v>0</v>
          </cell>
        </row>
        <row r="276">
          <cell r="C276">
            <v>1556</v>
          </cell>
          <cell r="D276" t="str">
            <v>Core</v>
          </cell>
          <cell r="E276" t="str">
            <v>Gold</v>
          </cell>
          <cell r="F276" t="str">
            <v>Gold Inline</v>
          </cell>
          <cell r="G276" t="str">
            <v>Core</v>
          </cell>
          <cell r="H276" t="str">
            <v>SG_02_01 Sun Glass Hut_Gold_OWNED</v>
          </cell>
          <cell r="I276" t="str">
            <v>0000001556 The Pen Centre</v>
          </cell>
          <cell r="J276" t="str">
            <v>Gold Inline</v>
          </cell>
          <cell r="K276">
            <v>0</v>
          </cell>
        </row>
        <row r="277">
          <cell r="C277">
            <v>1557</v>
          </cell>
          <cell r="D277" t="str">
            <v>Core</v>
          </cell>
          <cell r="E277" t="str">
            <v>Gold</v>
          </cell>
          <cell r="F277" t="str">
            <v>Gold Inline</v>
          </cell>
          <cell r="G277" t="str">
            <v>Core</v>
          </cell>
          <cell r="H277" t="str">
            <v>SG_02_01 Sun Glass Hut_Gold_OWNED</v>
          </cell>
          <cell r="I277" t="str">
            <v>0000001557 Las Olas Blvd</v>
          </cell>
          <cell r="J277" t="str">
            <v>Gold Inline</v>
          </cell>
          <cell r="K277">
            <v>0</v>
          </cell>
        </row>
        <row r="278">
          <cell r="C278">
            <v>1582</v>
          </cell>
          <cell r="D278" t="str">
            <v>Core</v>
          </cell>
          <cell r="E278" t="str">
            <v>Gold</v>
          </cell>
          <cell r="F278" t="str">
            <v>Gold Inline</v>
          </cell>
          <cell r="G278" t="str">
            <v>Core</v>
          </cell>
          <cell r="H278" t="str">
            <v>SG_02_01 Sun Glass Hut_Gold_OWNED</v>
          </cell>
          <cell r="I278" t="str">
            <v>0000001582 Valley Plaza Mall</v>
          </cell>
          <cell r="J278" t="str">
            <v>Gold Inline</v>
          </cell>
          <cell r="K278">
            <v>0</v>
          </cell>
        </row>
        <row r="279">
          <cell r="C279">
            <v>1583</v>
          </cell>
          <cell r="D279" t="str">
            <v>Core</v>
          </cell>
          <cell r="E279" t="str">
            <v>Gold</v>
          </cell>
          <cell r="F279" t="str">
            <v>Gold Inline</v>
          </cell>
          <cell r="G279" t="str">
            <v>Core</v>
          </cell>
          <cell r="H279" t="str">
            <v>SG_02_01 Sun Glass Hut_Gold_OWNED</v>
          </cell>
          <cell r="I279" t="str">
            <v>0000001583 N Rush St</v>
          </cell>
          <cell r="J279" t="str">
            <v>Gold Inline</v>
          </cell>
          <cell r="K279">
            <v>0</v>
          </cell>
        </row>
        <row r="280">
          <cell r="C280">
            <v>1671</v>
          </cell>
          <cell r="D280" t="str">
            <v>Core</v>
          </cell>
          <cell r="E280" t="str">
            <v>Gold</v>
          </cell>
          <cell r="F280" t="str">
            <v>Gold Inline</v>
          </cell>
          <cell r="G280" t="str">
            <v>Core</v>
          </cell>
          <cell r="H280" t="str">
            <v>SG_02_01 Sun Glass Hut_Gold_OWNED</v>
          </cell>
          <cell r="I280" t="str">
            <v>0000001671 The Empire Mall</v>
          </cell>
          <cell r="J280" t="str">
            <v>Gold Inline</v>
          </cell>
          <cell r="K280">
            <v>0</v>
          </cell>
        </row>
        <row r="281">
          <cell r="C281">
            <v>1694</v>
          </cell>
          <cell r="D281" t="str">
            <v>Core</v>
          </cell>
          <cell r="E281" t="str">
            <v>Gold</v>
          </cell>
          <cell r="F281" t="str">
            <v>Gold Inline</v>
          </cell>
          <cell r="G281" t="str">
            <v>Core</v>
          </cell>
          <cell r="H281" t="str">
            <v>SG_02_01 Sun Glass Hut_Gold_OWNED</v>
          </cell>
          <cell r="I281" t="str">
            <v>0000001694 Thames St</v>
          </cell>
          <cell r="J281" t="str">
            <v>Gold Inline</v>
          </cell>
          <cell r="K281">
            <v>0</v>
          </cell>
        </row>
        <row r="282">
          <cell r="C282">
            <v>1701</v>
          </cell>
          <cell r="D282" t="str">
            <v>Core</v>
          </cell>
          <cell r="E282" t="str">
            <v>Gold</v>
          </cell>
          <cell r="F282" t="str">
            <v>Gold Inline</v>
          </cell>
          <cell r="G282" t="str">
            <v>Core</v>
          </cell>
          <cell r="H282" t="str">
            <v>SG_02_01 Sun Glass Hut_Gold_OWNED</v>
          </cell>
          <cell r="I282" t="str">
            <v>0000001701 The Falls</v>
          </cell>
          <cell r="J282" t="str">
            <v>Gold Inline</v>
          </cell>
          <cell r="K282">
            <v>0</v>
          </cell>
        </row>
        <row r="283">
          <cell r="C283">
            <v>1738</v>
          </cell>
          <cell r="D283" t="str">
            <v>Core</v>
          </cell>
          <cell r="E283" t="str">
            <v>Gold</v>
          </cell>
          <cell r="F283" t="str">
            <v>Gold Inline</v>
          </cell>
          <cell r="G283" t="str">
            <v>Core</v>
          </cell>
          <cell r="H283" t="str">
            <v>SG_02_01 Sun Glass Hut_Gold_OWNED</v>
          </cell>
          <cell r="I283" t="str">
            <v>0000001738 Woodland Hills Mall</v>
          </cell>
          <cell r="J283" t="str">
            <v>Gold Inline</v>
          </cell>
          <cell r="K283">
            <v>0</v>
          </cell>
        </row>
        <row r="284">
          <cell r="C284">
            <v>1748</v>
          </cell>
          <cell r="D284" t="str">
            <v>Core</v>
          </cell>
          <cell r="E284" t="str">
            <v>Gold</v>
          </cell>
          <cell r="F284" t="str">
            <v>Gold Inline</v>
          </cell>
          <cell r="G284" t="str">
            <v>Core</v>
          </cell>
          <cell r="H284" t="str">
            <v>SG_02_01 Sun Glass Hut_Gold_OWNED</v>
          </cell>
          <cell r="I284" t="str">
            <v>0000001748 Bayshore Shopping Centre</v>
          </cell>
          <cell r="J284" t="str">
            <v>Gold Inline</v>
          </cell>
          <cell r="K284">
            <v>0</v>
          </cell>
        </row>
        <row r="285">
          <cell r="C285">
            <v>1797</v>
          </cell>
          <cell r="D285" t="str">
            <v>Core</v>
          </cell>
          <cell r="E285" t="str">
            <v>Gold</v>
          </cell>
          <cell r="F285" t="str">
            <v>Gold Inline</v>
          </cell>
          <cell r="G285" t="str">
            <v>Core</v>
          </cell>
          <cell r="H285" t="str">
            <v>SG_02_01 Sun Glass Hut_Gold_OWNED</v>
          </cell>
          <cell r="I285" t="str">
            <v>0000001797 Volusia Mall</v>
          </cell>
          <cell r="J285" t="str">
            <v>Gold Inline</v>
          </cell>
          <cell r="K285">
            <v>0</v>
          </cell>
        </row>
        <row r="286">
          <cell r="C286">
            <v>1809</v>
          </cell>
          <cell r="D286" t="str">
            <v>Core</v>
          </cell>
          <cell r="E286" t="str">
            <v>Gold</v>
          </cell>
          <cell r="F286" t="str">
            <v>Gold Inline</v>
          </cell>
          <cell r="G286" t="str">
            <v>Core</v>
          </cell>
          <cell r="H286" t="str">
            <v>SG_02_01 Sun Glass Hut_Gold_OWNED</v>
          </cell>
          <cell r="I286" t="str">
            <v>0000001809 The Mall At Tuttle Crossing</v>
          </cell>
          <cell r="J286" t="str">
            <v>Gold Inline</v>
          </cell>
          <cell r="K286">
            <v>0</v>
          </cell>
        </row>
        <row r="287">
          <cell r="C287">
            <v>1857</v>
          </cell>
          <cell r="D287" t="str">
            <v>Core</v>
          </cell>
          <cell r="E287" t="str">
            <v>Gold</v>
          </cell>
          <cell r="F287" t="str">
            <v>Gold Inline</v>
          </cell>
          <cell r="G287" t="str">
            <v>Core</v>
          </cell>
          <cell r="H287" t="str">
            <v>SG_02_01 Sun Glass Hut_Gold_OWNED</v>
          </cell>
          <cell r="I287" t="str">
            <v>0000001857 La Guardia Airport</v>
          </cell>
          <cell r="J287" t="str">
            <v>Gold Inline</v>
          </cell>
          <cell r="K287">
            <v>0</v>
          </cell>
        </row>
        <row r="288">
          <cell r="C288">
            <v>1910</v>
          </cell>
          <cell r="D288" t="str">
            <v>Core</v>
          </cell>
          <cell r="E288" t="str">
            <v>Gold</v>
          </cell>
          <cell r="F288" t="str">
            <v>Gold Kiosk</v>
          </cell>
          <cell r="G288" t="str">
            <v>Core</v>
          </cell>
          <cell r="H288" t="str">
            <v>SG_02_01 Sun Glass Hut_Gold_OWNED</v>
          </cell>
          <cell r="I288" t="str">
            <v>0000001910 Pacific View</v>
          </cell>
          <cell r="J288" t="str">
            <v>Gold Kiosk</v>
          </cell>
          <cell r="K288">
            <v>0</v>
          </cell>
        </row>
        <row r="289">
          <cell r="C289">
            <v>1920</v>
          </cell>
          <cell r="D289" t="str">
            <v>Core</v>
          </cell>
          <cell r="E289" t="str">
            <v>Gold</v>
          </cell>
          <cell r="F289" t="str">
            <v>Gold Inline</v>
          </cell>
          <cell r="G289" t="str">
            <v>Core</v>
          </cell>
          <cell r="H289" t="str">
            <v>SG_02_01 Sun Glass Hut_Gold_OWNED</v>
          </cell>
          <cell r="I289" t="str">
            <v>0000001920 Bell Tower Shops</v>
          </cell>
          <cell r="J289" t="str">
            <v>Gold Inline</v>
          </cell>
          <cell r="K289">
            <v>0</v>
          </cell>
        </row>
        <row r="290">
          <cell r="C290">
            <v>1945</v>
          </cell>
          <cell r="D290" t="str">
            <v>Core</v>
          </cell>
          <cell r="E290" t="str">
            <v>Gold</v>
          </cell>
          <cell r="F290" t="str">
            <v>Gold Inline</v>
          </cell>
          <cell r="G290" t="str">
            <v>Core</v>
          </cell>
          <cell r="H290" t="str">
            <v>SG_02_01 Sun Glass Hut_Gold_OWNED</v>
          </cell>
          <cell r="I290" t="str">
            <v>0000001945 University Park Mall</v>
          </cell>
          <cell r="J290" t="str">
            <v>Gold Inline</v>
          </cell>
          <cell r="K290">
            <v>0</v>
          </cell>
        </row>
        <row r="291">
          <cell r="C291">
            <v>1950</v>
          </cell>
          <cell r="D291" t="str">
            <v>Core</v>
          </cell>
          <cell r="E291" t="str">
            <v>Gold</v>
          </cell>
          <cell r="F291" t="str">
            <v>Gold Kiosk</v>
          </cell>
          <cell r="G291" t="str">
            <v>Core</v>
          </cell>
          <cell r="H291" t="str">
            <v>SG_02_01 Sun Glass Hut_Gold_OWNED</v>
          </cell>
          <cell r="I291" t="str">
            <v>0000001950 Desert Sky Mall</v>
          </cell>
          <cell r="J291" t="str">
            <v>Gold Kiosk</v>
          </cell>
          <cell r="K291">
            <v>0</v>
          </cell>
        </row>
        <row r="292">
          <cell r="C292">
            <v>1952</v>
          </cell>
          <cell r="D292" t="str">
            <v>Core</v>
          </cell>
          <cell r="E292" t="str">
            <v>Gold</v>
          </cell>
          <cell r="F292" t="str">
            <v>Gold Kiosk</v>
          </cell>
          <cell r="G292" t="str">
            <v>Core</v>
          </cell>
          <cell r="H292" t="str">
            <v>SG_02_01 Sun Glass Hut_Gold_OWNED</v>
          </cell>
          <cell r="I292" t="str">
            <v>0000001952 West Edmonton Mall</v>
          </cell>
          <cell r="J292" t="str">
            <v>Gold Kiosk</v>
          </cell>
          <cell r="K292">
            <v>0</v>
          </cell>
        </row>
        <row r="293">
          <cell r="C293">
            <v>2000</v>
          </cell>
          <cell r="D293" t="str">
            <v>Core</v>
          </cell>
          <cell r="E293" t="str">
            <v>Gold</v>
          </cell>
          <cell r="F293" t="str">
            <v>Gold Kiosk</v>
          </cell>
          <cell r="G293" t="str">
            <v>Core</v>
          </cell>
          <cell r="H293" t="str">
            <v>SG_02_01 Sun Glass Hut_Gold_OWNED</v>
          </cell>
          <cell r="I293" t="str">
            <v>0000002000 Castleton Square</v>
          </cell>
          <cell r="J293" t="str">
            <v>Gold Kiosk</v>
          </cell>
          <cell r="K293">
            <v>0</v>
          </cell>
        </row>
        <row r="294">
          <cell r="C294">
            <v>2018</v>
          </cell>
          <cell r="D294" t="str">
            <v>Core</v>
          </cell>
          <cell r="E294" t="str">
            <v>Gold</v>
          </cell>
          <cell r="F294" t="str">
            <v>Gold Inline</v>
          </cell>
          <cell r="G294" t="str">
            <v>Core</v>
          </cell>
          <cell r="H294" t="str">
            <v>SG_02_01 Sun Glass Hut_Gold_OWNED</v>
          </cell>
          <cell r="I294" t="str">
            <v>0000002018 Ross Park Mall</v>
          </cell>
          <cell r="J294" t="str">
            <v>Gold Inline</v>
          </cell>
          <cell r="K294">
            <v>0</v>
          </cell>
        </row>
        <row r="295">
          <cell r="C295">
            <v>2019</v>
          </cell>
          <cell r="D295" t="str">
            <v>Core</v>
          </cell>
          <cell r="E295" t="str">
            <v>Gold</v>
          </cell>
          <cell r="F295" t="str">
            <v>Gold Kiosk</v>
          </cell>
          <cell r="G295" t="str">
            <v>Core</v>
          </cell>
          <cell r="H295" t="str">
            <v>SG_02_01 Sun Glass Hut_Gold_OWNED</v>
          </cell>
          <cell r="I295" t="str">
            <v>0000002019 Ross Park Mall</v>
          </cell>
          <cell r="J295" t="str">
            <v>Gold Kiosk</v>
          </cell>
          <cell r="K295">
            <v>0</v>
          </cell>
        </row>
        <row r="296">
          <cell r="C296">
            <v>2020</v>
          </cell>
          <cell r="D296" t="str">
            <v>Core</v>
          </cell>
          <cell r="E296" t="str">
            <v>Gold</v>
          </cell>
          <cell r="F296" t="str">
            <v>Gold Inline</v>
          </cell>
          <cell r="G296" t="str">
            <v>Core</v>
          </cell>
          <cell r="H296" t="str">
            <v>SG_02_01 Sun Glass Hut_Gold_OWNED</v>
          </cell>
          <cell r="I296" t="str">
            <v>0000002020 Cordova Mall</v>
          </cell>
          <cell r="J296" t="str">
            <v>Gold Inline</v>
          </cell>
          <cell r="K296">
            <v>0</v>
          </cell>
        </row>
        <row r="297">
          <cell r="C297">
            <v>2050</v>
          </cell>
          <cell r="D297" t="str">
            <v>Core</v>
          </cell>
          <cell r="E297" t="str">
            <v>Gold</v>
          </cell>
          <cell r="F297" t="str">
            <v>Gold Inline</v>
          </cell>
          <cell r="G297" t="str">
            <v>Core</v>
          </cell>
          <cell r="H297" t="str">
            <v>SG_02_01 Sun Glass Hut_Gold_OWNED</v>
          </cell>
          <cell r="I297" t="str">
            <v>0000002050 Baybrook Mall</v>
          </cell>
          <cell r="J297" t="str">
            <v>Gold Inline</v>
          </cell>
          <cell r="K297">
            <v>0</v>
          </cell>
        </row>
        <row r="298">
          <cell r="C298">
            <v>2075</v>
          </cell>
          <cell r="D298" t="str">
            <v>Core</v>
          </cell>
          <cell r="E298" t="str">
            <v>Gold</v>
          </cell>
          <cell r="F298" t="str">
            <v>Gold Inline</v>
          </cell>
          <cell r="G298" t="str">
            <v>Core</v>
          </cell>
          <cell r="H298" t="str">
            <v>SG_02_01 Sun Glass Hut_Gold_OWNED</v>
          </cell>
          <cell r="I298" t="str">
            <v>0000002075 Deerbrook Mall</v>
          </cell>
          <cell r="J298" t="str">
            <v>Gold Inline</v>
          </cell>
          <cell r="K298">
            <v>0</v>
          </cell>
        </row>
        <row r="299">
          <cell r="C299">
            <v>2095</v>
          </cell>
          <cell r="D299" t="str">
            <v>Core</v>
          </cell>
          <cell r="E299" t="str">
            <v>Gold</v>
          </cell>
          <cell r="F299" t="str">
            <v>Gold Inline</v>
          </cell>
          <cell r="G299" t="str">
            <v>Core</v>
          </cell>
          <cell r="H299" t="str">
            <v>SG_02_01 Sun Glass Hut_Gold_OWNED</v>
          </cell>
          <cell r="I299" t="str">
            <v>0000002095 North Riverside Park Mall</v>
          </cell>
          <cell r="J299" t="str">
            <v>Gold Inline</v>
          </cell>
          <cell r="K299">
            <v>0</v>
          </cell>
        </row>
        <row r="300">
          <cell r="C300">
            <v>2100</v>
          </cell>
          <cell r="D300" t="str">
            <v>Core</v>
          </cell>
          <cell r="E300" t="str">
            <v>Gold</v>
          </cell>
          <cell r="F300" t="str">
            <v>Gold Inline</v>
          </cell>
          <cell r="G300" t="str">
            <v>Core</v>
          </cell>
          <cell r="H300" t="str">
            <v>SG_02_01 Sun Glass Hut_Gold_OWNED</v>
          </cell>
          <cell r="I300" t="str">
            <v>0000002100 Oxmoor Center</v>
          </cell>
          <cell r="J300" t="str">
            <v>Gold Inline</v>
          </cell>
          <cell r="K300">
            <v>0</v>
          </cell>
        </row>
        <row r="301">
          <cell r="C301">
            <v>2103</v>
          </cell>
          <cell r="D301" t="str">
            <v>Core</v>
          </cell>
          <cell r="E301" t="str">
            <v>Gold</v>
          </cell>
          <cell r="F301" t="str">
            <v>Gold Inline</v>
          </cell>
          <cell r="G301" t="str">
            <v>Core</v>
          </cell>
          <cell r="H301" t="str">
            <v>SG_02_01 Sun Glass Hut_Gold_OWNED</v>
          </cell>
          <cell r="I301" t="str">
            <v>0000002103 Capital City Mall</v>
          </cell>
          <cell r="J301" t="str">
            <v>Gold Inline</v>
          </cell>
          <cell r="K301">
            <v>0</v>
          </cell>
        </row>
        <row r="302">
          <cell r="C302">
            <v>2108</v>
          </cell>
          <cell r="D302" t="str">
            <v>Core</v>
          </cell>
          <cell r="E302" t="str">
            <v>Gold</v>
          </cell>
          <cell r="F302" t="str">
            <v>Gold Inline</v>
          </cell>
          <cell r="G302" t="str">
            <v>Core</v>
          </cell>
          <cell r="H302" t="str">
            <v>SG_02_01 Sun Glass Hut_Gold_OWNED</v>
          </cell>
          <cell r="I302" t="str">
            <v>0000002108 Mall Of America</v>
          </cell>
          <cell r="J302" t="str">
            <v>Gold Inline</v>
          </cell>
          <cell r="K302">
            <v>0</v>
          </cell>
        </row>
        <row r="303">
          <cell r="C303">
            <v>2151</v>
          </cell>
          <cell r="D303" t="str">
            <v>Core</v>
          </cell>
          <cell r="E303" t="str">
            <v>Gold</v>
          </cell>
          <cell r="F303" t="str">
            <v>Gold Kiosk</v>
          </cell>
          <cell r="G303" t="str">
            <v>Core</v>
          </cell>
          <cell r="H303" t="str">
            <v>SG_02_01 Sun Glass Hut_Gold_OWNED</v>
          </cell>
          <cell r="I303" t="str">
            <v>0000002151 Harlem Irving Plaza</v>
          </cell>
          <cell r="J303" t="str">
            <v>Gold Kiosk</v>
          </cell>
          <cell r="K303">
            <v>0</v>
          </cell>
        </row>
        <row r="304">
          <cell r="C304">
            <v>2153</v>
          </cell>
          <cell r="D304" t="str">
            <v>Core</v>
          </cell>
          <cell r="E304" t="str">
            <v>Gold</v>
          </cell>
          <cell r="F304" t="str">
            <v>Gold Kiosk</v>
          </cell>
          <cell r="G304" t="str">
            <v>Core</v>
          </cell>
          <cell r="H304" t="str">
            <v>SG_02_01 Sun Glass Hut_Gold_OWNED</v>
          </cell>
          <cell r="I304" t="str">
            <v>0000002153 Auburn Mall</v>
          </cell>
          <cell r="J304" t="str">
            <v>Gold Kiosk</v>
          </cell>
          <cell r="K304">
            <v>0</v>
          </cell>
        </row>
        <row r="305">
          <cell r="C305">
            <v>2180</v>
          </cell>
          <cell r="D305" t="str">
            <v>Core</v>
          </cell>
          <cell r="E305" t="str">
            <v>Gold</v>
          </cell>
          <cell r="F305" t="str">
            <v>Gold Kiosk</v>
          </cell>
          <cell r="G305" t="str">
            <v>Core</v>
          </cell>
          <cell r="H305" t="str">
            <v>SG_02_01 Sun Glass Hut_Gold_OWNED</v>
          </cell>
          <cell r="I305" t="str">
            <v>0000002180 Brunswick Square</v>
          </cell>
          <cell r="J305" t="str">
            <v>Gold Kiosk</v>
          </cell>
          <cell r="K305">
            <v>0</v>
          </cell>
        </row>
        <row r="306">
          <cell r="C306">
            <v>2208</v>
          </cell>
          <cell r="D306" t="str">
            <v>Core</v>
          </cell>
          <cell r="E306" t="str">
            <v>Gold</v>
          </cell>
          <cell r="F306" t="str">
            <v>Gold Kiosk</v>
          </cell>
          <cell r="G306" t="str">
            <v>Core</v>
          </cell>
          <cell r="H306" t="str">
            <v>SG_02_01 Sun Glass Hut_Gold_OWNED</v>
          </cell>
          <cell r="I306" t="str">
            <v>0000002208 Dartmouth Mall</v>
          </cell>
          <cell r="J306" t="str">
            <v>Gold Kiosk</v>
          </cell>
          <cell r="K306">
            <v>0</v>
          </cell>
        </row>
        <row r="307">
          <cell r="C307">
            <v>2222</v>
          </cell>
          <cell r="D307" t="str">
            <v>Core</v>
          </cell>
          <cell r="E307" t="str">
            <v>Gold</v>
          </cell>
          <cell r="F307" t="str">
            <v>Gold Inline</v>
          </cell>
          <cell r="G307" t="str">
            <v>Core</v>
          </cell>
          <cell r="H307" t="str">
            <v>SG_02_01 Sun Glass Hut_Gold_OWNED</v>
          </cell>
          <cell r="I307" t="str">
            <v>0000002222 MarketFair</v>
          </cell>
          <cell r="J307" t="str">
            <v>Gold Inline</v>
          </cell>
          <cell r="K307">
            <v>0</v>
          </cell>
        </row>
        <row r="308">
          <cell r="C308">
            <v>2234</v>
          </cell>
          <cell r="D308" t="str">
            <v>Core</v>
          </cell>
          <cell r="E308" t="str">
            <v>Gold</v>
          </cell>
          <cell r="F308" t="str">
            <v>Gold Inline</v>
          </cell>
          <cell r="G308" t="str">
            <v>Core</v>
          </cell>
          <cell r="H308" t="str">
            <v>SG_02_01 Sun Glass Hut_Gold_OWNED</v>
          </cell>
          <cell r="I308" t="str">
            <v>0000002234 Annapolis Mall</v>
          </cell>
          <cell r="J308" t="str">
            <v>Gold Inline</v>
          </cell>
          <cell r="K308">
            <v>0</v>
          </cell>
        </row>
        <row r="309">
          <cell r="C309">
            <v>2250</v>
          </cell>
          <cell r="D309" t="str">
            <v>Core</v>
          </cell>
          <cell r="E309" t="str">
            <v>Gold</v>
          </cell>
          <cell r="F309" t="str">
            <v>Gold Inline</v>
          </cell>
          <cell r="G309" t="str">
            <v>Core</v>
          </cell>
          <cell r="H309" t="str">
            <v>SG_02_01 Sun Glass Hut_Gold_OWNED</v>
          </cell>
          <cell r="I309" t="str">
            <v>0000002250 Fashion Place Mall</v>
          </cell>
          <cell r="J309" t="str">
            <v>Gold Inline</v>
          </cell>
          <cell r="K309">
            <v>0</v>
          </cell>
        </row>
        <row r="310">
          <cell r="C310">
            <v>2260</v>
          </cell>
          <cell r="D310" t="str">
            <v>Core</v>
          </cell>
          <cell r="E310" t="str">
            <v>Gold</v>
          </cell>
          <cell r="F310" t="str">
            <v>Gold Inline</v>
          </cell>
          <cell r="G310" t="str">
            <v>Core</v>
          </cell>
          <cell r="H310" t="str">
            <v>SG_02_01 Sun Glass Hut_Gold_OWNED</v>
          </cell>
          <cell r="I310" t="str">
            <v>0000002260 Oakridge Mall</v>
          </cell>
          <cell r="J310" t="str">
            <v>Gold Inline</v>
          </cell>
          <cell r="K310">
            <v>0</v>
          </cell>
        </row>
        <row r="311">
          <cell r="C311">
            <v>2314</v>
          </cell>
          <cell r="D311" t="str">
            <v>Core</v>
          </cell>
          <cell r="E311" t="str">
            <v>Gold</v>
          </cell>
          <cell r="F311" t="str">
            <v>Gold Inline</v>
          </cell>
          <cell r="G311" t="str">
            <v>Core</v>
          </cell>
          <cell r="H311" t="str">
            <v>SG_02_01 Sun Glass Hut_Gold_OWNED</v>
          </cell>
          <cell r="I311" t="str">
            <v>0000002314 West Towne Mall</v>
          </cell>
          <cell r="J311" t="str">
            <v>Gold Inline</v>
          </cell>
          <cell r="K311">
            <v>0</v>
          </cell>
        </row>
        <row r="312">
          <cell r="C312">
            <v>2336</v>
          </cell>
          <cell r="D312" t="str">
            <v>Core</v>
          </cell>
          <cell r="E312" t="str">
            <v>Gold</v>
          </cell>
          <cell r="F312" t="str">
            <v>Gold Inline</v>
          </cell>
          <cell r="G312" t="str">
            <v>Core</v>
          </cell>
          <cell r="H312" t="str">
            <v>SG_02_01 Sun Glass Hut_Gold_OWNED</v>
          </cell>
          <cell r="I312" t="str">
            <v>0000002336 Le Centre Eaton</v>
          </cell>
          <cell r="J312" t="str">
            <v>Gold Inline</v>
          </cell>
          <cell r="K312">
            <v>0</v>
          </cell>
        </row>
        <row r="313">
          <cell r="C313">
            <v>2367</v>
          </cell>
          <cell r="D313" t="str">
            <v>Core</v>
          </cell>
          <cell r="E313" t="str">
            <v>Gold</v>
          </cell>
          <cell r="F313" t="str">
            <v>Gold Inline</v>
          </cell>
          <cell r="G313" t="str">
            <v>Core</v>
          </cell>
          <cell r="H313" t="str">
            <v>SG_02_01 Sun Glass Hut_Gold_OWNED</v>
          </cell>
          <cell r="I313" t="str">
            <v>0000002367 Orange Ave</v>
          </cell>
          <cell r="J313" t="str">
            <v>Gold Inline</v>
          </cell>
          <cell r="K313">
            <v>0</v>
          </cell>
        </row>
        <row r="314">
          <cell r="C314">
            <v>2369</v>
          </cell>
          <cell r="D314" t="str">
            <v>Core</v>
          </cell>
          <cell r="E314" t="str">
            <v>Gold</v>
          </cell>
          <cell r="F314" t="str">
            <v>Gold Inline</v>
          </cell>
          <cell r="G314" t="str">
            <v>Core</v>
          </cell>
          <cell r="H314" t="str">
            <v>SG_02_01 Sun Glass Hut_Gold_OWNED</v>
          </cell>
          <cell r="I314" t="str">
            <v>0000002369 Newport Centre</v>
          </cell>
          <cell r="J314" t="str">
            <v>Gold Inline</v>
          </cell>
          <cell r="K314">
            <v>0</v>
          </cell>
        </row>
        <row r="315">
          <cell r="C315">
            <v>2377</v>
          </cell>
          <cell r="D315" t="str">
            <v>Core</v>
          </cell>
          <cell r="E315" t="str">
            <v>Gold</v>
          </cell>
          <cell r="F315" t="str">
            <v>Gold Inline</v>
          </cell>
          <cell r="G315" t="str">
            <v>Core</v>
          </cell>
          <cell r="H315" t="str">
            <v>SG_02_01 Sun Glass Hut_Gold_OWNED</v>
          </cell>
          <cell r="I315" t="str">
            <v>0000002377 5th Ave</v>
          </cell>
          <cell r="J315" t="str">
            <v>Gold Inline</v>
          </cell>
          <cell r="K315">
            <v>0</v>
          </cell>
        </row>
        <row r="316">
          <cell r="C316">
            <v>2394</v>
          </cell>
          <cell r="D316" t="str">
            <v>Core</v>
          </cell>
          <cell r="E316" t="str">
            <v>Gold</v>
          </cell>
          <cell r="F316" t="str">
            <v>Gold Inline</v>
          </cell>
          <cell r="G316" t="str">
            <v>Core</v>
          </cell>
          <cell r="H316" t="str">
            <v>SG_02_01 Sun Glass Hut_Gold_OWNED</v>
          </cell>
          <cell r="I316" t="str">
            <v>0000002394 Willowbrook Shopping Centre</v>
          </cell>
          <cell r="J316" t="str">
            <v>Gold Inline</v>
          </cell>
          <cell r="K316">
            <v>0</v>
          </cell>
        </row>
        <row r="317">
          <cell r="C317">
            <v>2396</v>
          </cell>
          <cell r="D317" t="str">
            <v>Core</v>
          </cell>
          <cell r="E317" t="str">
            <v>Gold</v>
          </cell>
          <cell r="F317" t="str">
            <v>Gold Inline</v>
          </cell>
          <cell r="G317" t="str">
            <v>Core</v>
          </cell>
          <cell r="H317" t="str">
            <v>SG_02_01 Sun Glass Hut_Gold_OWNED</v>
          </cell>
          <cell r="I317" t="str">
            <v>0000002396 Circle Centre</v>
          </cell>
          <cell r="J317" t="str">
            <v>Gold Inline</v>
          </cell>
          <cell r="K317">
            <v>0</v>
          </cell>
        </row>
        <row r="318">
          <cell r="C318">
            <v>2398</v>
          </cell>
          <cell r="D318" t="str">
            <v>Core</v>
          </cell>
          <cell r="E318" t="str">
            <v>Gold</v>
          </cell>
          <cell r="F318" t="str">
            <v>Gold Kiosk</v>
          </cell>
          <cell r="G318" t="str">
            <v>Core</v>
          </cell>
          <cell r="H318" t="str">
            <v>SG_02_01 Sun Glass Hut_Gold_OWNED</v>
          </cell>
          <cell r="I318" t="str">
            <v>0000002398 Rockland Centre</v>
          </cell>
          <cell r="J318" t="str">
            <v>Gold Kiosk</v>
          </cell>
          <cell r="K318">
            <v>0</v>
          </cell>
        </row>
        <row r="319">
          <cell r="C319">
            <v>2401</v>
          </cell>
          <cell r="D319" t="str">
            <v>Core</v>
          </cell>
          <cell r="E319" t="str">
            <v>Gold</v>
          </cell>
          <cell r="F319" t="str">
            <v>Gold Inline</v>
          </cell>
          <cell r="G319" t="str">
            <v>Core</v>
          </cell>
          <cell r="H319" t="str">
            <v>SG_02_01 Sun Glass Hut_Gold_OWNED</v>
          </cell>
          <cell r="I319" t="str">
            <v>0000002401 The Shops at Heavenly Village</v>
          </cell>
          <cell r="J319" t="str">
            <v>Gold Inline</v>
          </cell>
          <cell r="K319">
            <v>0</v>
          </cell>
        </row>
        <row r="320">
          <cell r="C320">
            <v>2523</v>
          </cell>
          <cell r="D320" t="str">
            <v>Core</v>
          </cell>
          <cell r="E320" t="str">
            <v>Gold</v>
          </cell>
          <cell r="F320" t="str">
            <v>Gold Inline</v>
          </cell>
          <cell r="G320" t="str">
            <v>Core</v>
          </cell>
          <cell r="H320" t="str">
            <v>SG_02_01 Sun Glass Hut_Gold_OWNED</v>
          </cell>
          <cell r="I320" t="str">
            <v>0000002523 Annapolis Mall</v>
          </cell>
          <cell r="J320" t="str">
            <v>Gold Inline</v>
          </cell>
          <cell r="K320">
            <v>0</v>
          </cell>
        </row>
        <row r="321">
          <cell r="C321">
            <v>2543</v>
          </cell>
          <cell r="D321" t="str">
            <v>Core</v>
          </cell>
          <cell r="E321" t="str">
            <v>Gold</v>
          </cell>
          <cell r="F321" t="str">
            <v>Gold Inline</v>
          </cell>
          <cell r="G321" t="str">
            <v>Core</v>
          </cell>
          <cell r="H321" t="str">
            <v>SG_02_01 Sun Glass Hut_Gold_OWNED</v>
          </cell>
          <cell r="I321" t="str">
            <v>0000002543 Penn Square Mall</v>
          </cell>
          <cell r="J321" t="str">
            <v>Gold Inline</v>
          </cell>
          <cell r="K321">
            <v>0</v>
          </cell>
        </row>
        <row r="322">
          <cell r="C322">
            <v>2551</v>
          </cell>
          <cell r="D322" t="str">
            <v>Core</v>
          </cell>
          <cell r="E322" t="str">
            <v>Gold</v>
          </cell>
          <cell r="F322" t="str">
            <v>Gold Inline</v>
          </cell>
          <cell r="G322" t="str">
            <v>Core</v>
          </cell>
          <cell r="H322" t="str">
            <v>SG_02_01 Sun Glass Hut_Gold_OWNED</v>
          </cell>
          <cell r="I322" t="str">
            <v>0000002551 29th St Promenade</v>
          </cell>
          <cell r="J322" t="str">
            <v>Gold Inline</v>
          </cell>
          <cell r="K322">
            <v>0</v>
          </cell>
        </row>
        <row r="323">
          <cell r="C323">
            <v>2704</v>
          </cell>
          <cell r="D323" t="str">
            <v>Core</v>
          </cell>
          <cell r="E323" t="str">
            <v>Gold</v>
          </cell>
          <cell r="F323" t="str">
            <v>Gold Inline</v>
          </cell>
          <cell r="G323" t="str">
            <v>Core</v>
          </cell>
          <cell r="H323" t="str">
            <v>SG_02_01 Sun Glass Hut_Gold_OWNED</v>
          </cell>
          <cell r="I323" t="str">
            <v>0000002704 Grand Hyatt Kauai</v>
          </cell>
          <cell r="J323" t="str">
            <v>Gold Inline</v>
          </cell>
          <cell r="K323">
            <v>0</v>
          </cell>
        </row>
        <row r="324">
          <cell r="C324">
            <v>2706</v>
          </cell>
          <cell r="D324" t="str">
            <v>Core</v>
          </cell>
          <cell r="E324" t="str">
            <v>Gold</v>
          </cell>
          <cell r="F324" t="str">
            <v>Gold Inline</v>
          </cell>
          <cell r="G324" t="str">
            <v>Core</v>
          </cell>
          <cell r="H324" t="str">
            <v>SG_02_01 Sun Glass Hut_Gold_OWNED</v>
          </cell>
          <cell r="I324" t="str">
            <v>0000002706 The Headquarters</v>
          </cell>
          <cell r="J324" t="str">
            <v>Gold Inline</v>
          </cell>
          <cell r="K324">
            <v>0</v>
          </cell>
        </row>
        <row r="325">
          <cell r="C325">
            <v>2794</v>
          </cell>
          <cell r="D325" t="str">
            <v>Core</v>
          </cell>
          <cell r="E325" t="str">
            <v>Gold</v>
          </cell>
          <cell r="F325" t="str">
            <v>Gold Inline</v>
          </cell>
          <cell r="G325" t="str">
            <v>Core</v>
          </cell>
          <cell r="H325" t="str">
            <v>SG_02_01 Sun Glass Hut_Gold_OWNED</v>
          </cell>
          <cell r="I325" t="str">
            <v>0000002794 The Parks At Arlington</v>
          </cell>
          <cell r="J325" t="str">
            <v>Gold Inline</v>
          </cell>
          <cell r="K325">
            <v>0</v>
          </cell>
        </row>
        <row r="326">
          <cell r="C326">
            <v>2861</v>
          </cell>
          <cell r="D326" t="str">
            <v>Core</v>
          </cell>
          <cell r="E326" t="str">
            <v>Gold</v>
          </cell>
          <cell r="F326" t="str">
            <v>Gold Inline</v>
          </cell>
          <cell r="G326" t="str">
            <v>Core</v>
          </cell>
          <cell r="H326" t="str">
            <v>SG_02_01 Sun Glass Hut_Gold_OWNED</v>
          </cell>
          <cell r="I326" t="str">
            <v>0000002861 Fashion Fair Mall</v>
          </cell>
          <cell r="J326" t="str">
            <v>Gold Inline</v>
          </cell>
          <cell r="K326">
            <v>0</v>
          </cell>
        </row>
        <row r="327">
          <cell r="C327">
            <v>2865</v>
          </cell>
          <cell r="D327" t="str">
            <v>Core</v>
          </cell>
          <cell r="E327" t="str">
            <v>Gold</v>
          </cell>
          <cell r="F327" t="str">
            <v>Gold Inline</v>
          </cell>
          <cell r="G327" t="str">
            <v>Core</v>
          </cell>
          <cell r="H327" t="str">
            <v>SG_02_01 Sun Glass Hut_Gold_OWNED</v>
          </cell>
          <cell r="I327" t="str">
            <v>0000002865 Providence Place Mall</v>
          </cell>
          <cell r="J327" t="str">
            <v>Gold Inline</v>
          </cell>
          <cell r="K327">
            <v>0</v>
          </cell>
        </row>
        <row r="328">
          <cell r="C328">
            <v>2956</v>
          </cell>
          <cell r="D328" t="str">
            <v>Core</v>
          </cell>
          <cell r="E328" t="str">
            <v>Gold</v>
          </cell>
          <cell r="F328" t="str">
            <v>Gold Inline</v>
          </cell>
          <cell r="G328" t="str">
            <v>Core</v>
          </cell>
          <cell r="H328" t="str">
            <v>SG_02_01 Sun Glass Hut_Gold_OWNED</v>
          </cell>
          <cell r="I328" t="str">
            <v>0000002956 First Colony Mall</v>
          </cell>
          <cell r="J328" t="str">
            <v>Gold Inline</v>
          </cell>
          <cell r="K328">
            <v>0</v>
          </cell>
        </row>
        <row r="329">
          <cell r="C329">
            <v>2957</v>
          </cell>
          <cell r="D329" t="str">
            <v>Core</v>
          </cell>
          <cell r="E329" t="str">
            <v>Gold</v>
          </cell>
          <cell r="F329" t="str">
            <v>Gold Inline</v>
          </cell>
          <cell r="G329" t="str">
            <v>Core</v>
          </cell>
          <cell r="H329" t="str">
            <v>SG_02_01 Sun Glass Hut_Gold_OWNED</v>
          </cell>
          <cell r="I329" t="str">
            <v>0000002957 Lehigh Valley Mall</v>
          </cell>
          <cell r="J329" t="str">
            <v>Gold Inline</v>
          </cell>
          <cell r="K329">
            <v>0</v>
          </cell>
        </row>
        <row r="330">
          <cell r="C330">
            <v>2964</v>
          </cell>
          <cell r="D330" t="str">
            <v>Core</v>
          </cell>
          <cell r="E330" t="str">
            <v>Gold</v>
          </cell>
          <cell r="F330" t="str">
            <v>Gold Inline</v>
          </cell>
          <cell r="G330" t="str">
            <v>Core</v>
          </cell>
          <cell r="H330" t="str">
            <v>SG_02_01 Sun Glass Hut_Gold_OWNED</v>
          </cell>
          <cell r="I330" t="str">
            <v>0000002964 Mall Of New Hampshire</v>
          </cell>
          <cell r="J330" t="str">
            <v>Gold Inline</v>
          </cell>
          <cell r="K330">
            <v>0</v>
          </cell>
        </row>
        <row r="331">
          <cell r="C331">
            <v>2977</v>
          </cell>
          <cell r="D331" t="str">
            <v>Core</v>
          </cell>
          <cell r="E331" t="str">
            <v>Gold</v>
          </cell>
          <cell r="F331" t="str">
            <v>Gold Kiosk</v>
          </cell>
          <cell r="G331" t="str">
            <v>Core</v>
          </cell>
          <cell r="H331" t="str">
            <v>SG_02_01 Sun Glass Hut_Gold_OWNED</v>
          </cell>
          <cell r="I331" t="str">
            <v>0000002977 Toronto Pearson Int'l Airport</v>
          </cell>
          <cell r="J331" t="str">
            <v>Gold Kiosk</v>
          </cell>
          <cell r="K331">
            <v>0</v>
          </cell>
        </row>
        <row r="332">
          <cell r="C332">
            <v>3136</v>
          </cell>
          <cell r="D332" t="str">
            <v>Core</v>
          </cell>
          <cell r="E332" t="str">
            <v>Gold</v>
          </cell>
          <cell r="F332" t="str">
            <v>Gold Inline</v>
          </cell>
          <cell r="G332" t="str">
            <v>Core</v>
          </cell>
          <cell r="H332" t="str">
            <v>SG_02_01 Sun Glass Hut_Gold_OWNED</v>
          </cell>
          <cell r="I332" t="str">
            <v>0000003136 Flatiron Crossing</v>
          </cell>
          <cell r="J332" t="str">
            <v>Gold Inline</v>
          </cell>
          <cell r="K332">
            <v>0</v>
          </cell>
        </row>
        <row r="333">
          <cell r="C333">
            <v>3144</v>
          </cell>
          <cell r="D333" t="str">
            <v>Core</v>
          </cell>
          <cell r="E333" t="str">
            <v>Gold</v>
          </cell>
          <cell r="F333" t="str">
            <v>Gold Kiosk</v>
          </cell>
          <cell r="G333" t="str">
            <v>Core</v>
          </cell>
          <cell r="H333" t="str">
            <v>SG_02_01 Sun Glass Hut_Gold_OWNED</v>
          </cell>
          <cell r="I333" t="str">
            <v>0000003144 Newark Liberty Int'l Airport</v>
          </cell>
          <cell r="J333" t="str">
            <v>Gold Kiosk</v>
          </cell>
          <cell r="K333">
            <v>0</v>
          </cell>
        </row>
        <row r="334">
          <cell r="C334">
            <v>3172</v>
          </cell>
          <cell r="D334" t="str">
            <v>Core</v>
          </cell>
          <cell r="E334" t="str">
            <v>Gold</v>
          </cell>
          <cell r="F334" t="str">
            <v>Gold Inline</v>
          </cell>
          <cell r="G334" t="str">
            <v>Core</v>
          </cell>
          <cell r="H334" t="str">
            <v>SG_02_01 Sun Glass Hut_Gold_OWNED</v>
          </cell>
          <cell r="I334" t="str">
            <v>0000003172 Ridgmar Mall</v>
          </cell>
          <cell r="J334" t="str">
            <v>Gold Inline</v>
          </cell>
          <cell r="K334">
            <v>0</v>
          </cell>
        </row>
        <row r="335">
          <cell r="C335">
            <v>3186</v>
          </cell>
          <cell r="D335" t="str">
            <v>Core</v>
          </cell>
          <cell r="E335" t="str">
            <v>Gold</v>
          </cell>
          <cell r="F335" t="str">
            <v>Gold Inline</v>
          </cell>
          <cell r="G335" t="str">
            <v>Core</v>
          </cell>
          <cell r="H335" t="str">
            <v>SG_02_01 Sun Glass Hut_Gold_OWNED</v>
          </cell>
          <cell r="I335" t="str">
            <v>0000003186 Park Place Mall</v>
          </cell>
          <cell r="J335" t="str">
            <v>Gold Inline</v>
          </cell>
          <cell r="K335">
            <v>0</v>
          </cell>
        </row>
        <row r="336">
          <cell r="C336">
            <v>3265</v>
          </cell>
          <cell r="D336" t="str">
            <v>Core</v>
          </cell>
          <cell r="E336" t="str">
            <v>Gold</v>
          </cell>
          <cell r="F336" t="str">
            <v>Gold Kiosk</v>
          </cell>
          <cell r="G336" t="str">
            <v>Core</v>
          </cell>
          <cell r="H336" t="str">
            <v>SG_02_01 Sun Glass Hut_Gold_OWNED</v>
          </cell>
          <cell r="I336" t="str">
            <v>0000003265 Town East Mall</v>
          </cell>
          <cell r="J336" t="str">
            <v>Gold Kiosk</v>
          </cell>
          <cell r="K336">
            <v>0</v>
          </cell>
        </row>
        <row r="337">
          <cell r="C337">
            <v>3284</v>
          </cell>
          <cell r="D337" t="str">
            <v>Core</v>
          </cell>
          <cell r="E337" t="str">
            <v>Gold</v>
          </cell>
          <cell r="F337" t="str">
            <v>Gold Inline</v>
          </cell>
          <cell r="G337" t="str">
            <v>Core</v>
          </cell>
          <cell r="H337" t="str">
            <v>SG_02_01 Sun Glass Hut_Gold_OWNED</v>
          </cell>
          <cell r="I337" t="str">
            <v>0000003284 Sunrise Mall</v>
          </cell>
          <cell r="J337" t="str">
            <v>Gold Inline</v>
          </cell>
          <cell r="K337">
            <v>0</v>
          </cell>
        </row>
        <row r="338">
          <cell r="C338">
            <v>3285</v>
          </cell>
          <cell r="D338" t="str">
            <v>Core</v>
          </cell>
          <cell r="E338" t="str">
            <v>Gold</v>
          </cell>
          <cell r="F338" t="str">
            <v>Gold Inline</v>
          </cell>
          <cell r="G338" t="str">
            <v>Core</v>
          </cell>
          <cell r="H338" t="str">
            <v>SG_02_01 Sun Glass Hut_Gold_OWNED</v>
          </cell>
          <cell r="I338" t="str">
            <v>0000003285 Plaza del Sol</v>
          </cell>
          <cell r="J338" t="str">
            <v>Gold Inline</v>
          </cell>
          <cell r="K338">
            <v>0</v>
          </cell>
        </row>
        <row r="339">
          <cell r="C339">
            <v>3385</v>
          </cell>
          <cell r="D339" t="str">
            <v>Core</v>
          </cell>
          <cell r="E339" t="str">
            <v>Gold</v>
          </cell>
          <cell r="F339" t="str">
            <v>Gold Inline</v>
          </cell>
          <cell r="G339" t="str">
            <v>Core</v>
          </cell>
          <cell r="H339" t="str">
            <v>SG_02_01 Sun Glass Hut_Gold_OWNED</v>
          </cell>
          <cell r="I339" t="str">
            <v>0000003385 Stonebriar Centre</v>
          </cell>
          <cell r="J339" t="str">
            <v>Gold Inline</v>
          </cell>
          <cell r="K339">
            <v>0</v>
          </cell>
        </row>
        <row r="340">
          <cell r="C340">
            <v>3386</v>
          </cell>
          <cell r="D340" t="str">
            <v>Core</v>
          </cell>
          <cell r="E340" t="str">
            <v>Gold</v>
          </cell>
          <cell r="F340" t="str">
            <v>Gold Inline</v>
          </cell>
          <cell r="G340" t="str">
            <v>Core</v>
          </cell>
          <cell r="H340" t="str">
            <v>SG_02_01 Sun Glass Hut_Gold_OWNED</v>
          </cell>
          <cell r="I340" t="str">
            <v>0000003386 Galleria At Roseville</v>
          </cell>
          <cell r="J340" t="str">
            <v>Gold Inline</v>
          </cell>
          <cell r="K340">
            <v>0</v>
          </cell>
        </row>
        <row r="341">
          <cell r="C341">
            <v>3389</v>
          </cell>
          <cell r="D341" t="str">
            <v>Core</v>
          </cell>
          <cell r="E341" t="str">
            <v>Gold</v>
          </cell>
          <cell r="F341" t="str">
            <v>Gold Kiosk</v>
          </cell>
          <cell r="G341" t="str">
            <v>Core</v>
          </cell>
          <cell r="H341" t="str">
            <v>SG_02_01 Sun Glass Hut_Gold_OWNED</v>
          </cell>
          <cell r="I341" t="str">
            <v>0000003389 Mayfair Shopping Centre</v>
          </cell>
          <cell r="J341" t="str">
            <v>Gold Kiosk</v>
          </cell>
          <cell r="K341">
            <v>0</v>
          </cell>
        </row>
        <row r="342">
          <cell r="C342">
            <v>3405</v>
          </cell>
          <cell r="D342" t="str">
            <v>Core</v>
          </cell>
          <cell r="E342" t="str">
            <v>Gold</v>
          </cell>
          <cell r="F342" t="str">
            <v>Gold Inline</v>
          </cell>
          <cell r="G342" t="str">
            <v>Core</v>
          </cell>
          <cell r="H342" t="str">
            <v>SG_02_01 Sun Glass Hut_Gold_OWNED</v>
          </cell>
          <cell r="I342" t="str">
            <v>0000003405 Masonville Place</v>
          </cell>
          <cell r="J342" t="str">
            <v>Gold Inline</v>
          </cell>
          <cell r="K342">
            <v>0</v>
          </cell>
        </row>
        <row r="343">
          <cell r="C343">
            <v>3406</v>
          </cell>
          <cell r="D343" t="str">
            <v>Core</v>
          </cell>
          <cell r="E343" t="str">
            <v>Gold</v>
          </cell>
          <cell r="F343" t="str">
            <v>Gold Inline</v>
          </cell>
          <cell r="G343" t="str">
            <v>Core</v>
          </cell>
          <cell r="H343" t="str">
            <v>SG_02_01 Sun Glass Hut_Gold_OWNED</v>
          </cell>
          <cell r="I343" t="str">
            <v>0000003406 Havensight Mall</v>
          </cell>
          <cell r="J343" t="str">
            <v>Gold Inline</v>
          </cell>
          <cell r="K343">
            <v>0</v>
          </cell>
        </row>
        <row r="344">
          <cell r="C344">
            <v>3422</v>
          </cell>
          <cell r="D344" t="str">
            <v>Core</v>
          </cell>
          <cell r="E344" t="str">
            <v>Gold</v>
          </cell>
          <cell r="F344" t="str">
            <v>Gold Inline</v>
          </cell>
          <cell r="G344" t="str">
            <v>Core</v>
          </cell>
          <cell r="H344" t="str">
            <v>SG_02_01 Sun Glass Hut_Gold_OWNED</v>
          </cell>
          <cell r="I344" t="str">
            <v>0000003422 Promenade Temecula</v>
          </cell>
          <cell r="J344" t="str">
            <v>Gold Inline</v>
          </cell>
          <cell r="K344">
            <v>0</v>
          </cell>
        </row>
        <row r="345">
          <cell r="C345">
            <v>3439</v>
          </cell>
          <cell r="D345" t="str">
            <v>Core</v>
          </cell>
          <cell r="E345" t="str">
            <v>Gold</v>
          </cell>
          <cell r="F345" t="str">
            <v>Gold Inline</v>
          </cell>
          <cell r="G345" t="str">
            <v>Core</v>
          </cell>
          <cell r="H345" t="str">
            <v>SG_02_01 Sun Glass Hut_Gold_OWNED</v>
          </cell>
          <cell r="I345" t="str">
            <v>0000003439 White Oaks Mall</v>
          </cell>
          <cell r="J345" t="str">
            <v>Gold Inline</v>
          </cell>
          <cell r="K345">
            <v>0</v>
          </cell>
        </row>
        <row r="346">
          <cell r="C346">
            <v>3449</v>
          </cell>
          <cell r="D346" t="str">
            <v>Core</v>
          </cell>
          <cell r="E346" t="str">
            <v>Gold</v>
          </cell>
          <cell r="F346" t="str">
            <v>Gold Inline</v>
          </cell>
          <cell r="G346" t="str">
            <v>Core</v>
          </cell>
          <cell r="H346" t="str">
            <v>SG_02_01 Sun Glass Hut_Gold_OWNED</v>
          </cell>
          <cell r="I346" t="str">
            <v>0000003449 Midtown Plaza</v>
          </cell>
          <cell r="J346" t="str">
            <v>Gold Inline</v>
          </cell>
          <cell r="K346">
            <v>0</v>
          </cell>
        </row>
        <row r="347">
          <cell r="C347">
            <v>3450</v>
          </cell>
          <cell r="D347" t="str">
            <v>Core</v>
          </cell>
          <cell r="E347" t="str">
            <v>Gold</v>
          </cell>
          <cell r="F347" t="str">
            <v>Gold Inline</v>
          </cell>
          <cell r="G347" t="str">
            <v>Core</v>
          </cell>
          <cell r="H347" t="str">
            <v>SG_02_01 Sun Glass Hut_Gold_OWNED</v>
          </cell>
          <cell r="I347" t="str">
            <v>0000003450 Citrus Park Town Center</v>
          </cell>
          <cell r="J347" t="str">
            <v>Gold Inline</v>
          </cell>
          <cell r="K347">
            <v>0</v>
          </cell>
        </row>
        <row r="348">
          <cell r="C348">
            <v>3458</v>
          </cell>
          <cell r="D348" t="str">
            <v>Core</v>
          </cell>
          <cell r="E348" t="str">
            <v>Gold</v>
          </cell>
          <cell r="F348" t="str">
            <v>Gold Kiosk</v>
          </cell>
          <cell r="G348" t="str">
            <v>Core</v>
          </cell>
          <cell r="H348" t="str">
            <v>SG_02_01 Sun Glass Hut_Gold_OWNED</v>
          </cell>
          <cell r="I348" t="str">
            <v>0000003458 Visalia Mall</v>
          </cell>
          <cell r="J348" t="str">
            <v>Gold Kiosk</v>
          </cell>
          <cell r="K348">
            <v>0</v>
          </cell>
        </row>
        <row r="349">
          <cell r="C349">
            <v>3467</v>
          </cell>
          <cell r="D349" t="str">
            <v>Core</v>
          </cell>
          <cell r="E349" t="str">
            <v>Gold</v>
          </cell>
          <cell r="F349" t="str">
            <v>Gold Inline</v>
          </cell>
          <cell r="G349" t="str">
            <v>Core</v>
          </cell>
          <cell r="H349" t="str">
            <v>SG_02_01 Sun Glass Hut_Gold_OWNED</v>
          </cell>
          <cell r="I349" t="str">
            <v>0000003467 Quatier Dix 30</v>
          </cell>
          <cell r="J349" t="str">
            <v>Gold Inline</v>
          </cell>
          <cell r="K349">
            <v>0</v>
          </cell>
        </row>
        <row r="350">
          <cell r="C350">
            <v>3481</v>
          </cell>
          <cell r="D350" t="str">
            <v>Core</v>
          </cell>
          <cell r="E350" t="str">
            <v>Gold</v>
          </cell>
          <cell r="F350" t="str">
            <v>Gold Inline</v>
          </cell>
          <cell r="G350" t="str">
            <v>Core</v>
          </cell>
          <cell r="H350" t="str">
            <v>SG_02_01 Sun Glass Hut_Gold_OWNED</v>
          </cell>
          <cell r="I350" t="str">
            <v>0000003481 MacArthur Center</v>
          </cell>
          <cell r="J350" t="str">
            <v>Gold Inline</v>
          </cell>
          <cell r="K350">
            <v>0</v>
          </cell>
        </row>
        <row r="351">
          <cell r="C351">
            <v>3543</v>
          </cell>
          <cell r="D351" t="str">
            <v>Core</v>
          </cell>
          <cell r="E351" t="str">
            <v>Gold</v>
          </cell>
          <cell r="F351" t="str">
            <v>Gold Inline</v>
          </cell>
          <cell r="G351" t="str">
            <v>Core</v>
          </cell>
          <cell r="H351" t="str">
            <v>SG_02_01 Sun Glass Hut_Gold_OWNED</v>
          </cell>
          <cell r="I351" t="str">
            <v>0000003543 The Gardens on El Paseo</v>
          </cell>
          <cell r="J351" t="str">
            <v>Gold Inline</v>
          </cell>
          <cell r="K351">
            <v>0</v>
          </cell>
        </row>
        <row r="352">
          <cell r="C352">
            <v>3553</v>
          </cell>
          <cell r="D352" t="str">
            <v>Core</v>
          </cell>
          <cell r="E352" t="str">
            <v>Gold</v>
          </cell>
          <cell r="F352" t="str">
            <v>Gold Inline</v>
          </cell>
          <cell r="G352" t="str">
            <v>Core</v>
          </cell>
          <cell r="H352" t="str">
            <v>SG_02_01 Sun Glass Hut_Gold_OWNED</v>
          </cell>
          <cell r="I352" t="str">
            <v>0000003553 Deer Park Town Center</v>
          </cell>
          <cell r="J352" t="str">
            <v>Gold Inline</v>
          </cell>
          <cell r="K352">
            <v>0</v>
          </cell>
        </row>
        <row r="353">
          <cell r="C353">
            <v>3571</v>
          </cell>
          <cell r="D353" t="str">
            <v>Core</v>
          </cell>
          <cell r="E353" t="str">
            <v>Gold</v>
          </cell>
          <cell r="F353" t="str">
            <v>Gold Inline</v>
          </cell>
          <cell r="G353" t="str">
            <v>Core</v>
          </cell>
          <cell r="H353" t="str">
            <v>SG_02_01 Sun Glass Hut_Gold_OWNED</v>
          </cell>
          <cell r="I353" t="str">
            <v>0000003571 The Waterfront</v>
          </cell>
          <cell r="J353" t="str">
            <v>Gold Inline</v>
          </cell>
          <cell r="K353">
            <v>0</v>
          </cell>
        </row>
        <row r="354">
          <cell r="C354">
            <v>3572</v>
          </cell>
          <cell r="D354" t="str">
            <v>Core</v>
          </cell>
          <cell r="E354" t="str">
            <v>Gold</v>
          </cell>
          <cell r="F354" t="str">
            <v>Gold Inline</v>
          </cell>
          <cell r="G354" t="str">
            <v>Core</v>
          </cell>
          <cell r="H354" t="str">
            <v>SG_02_01 Sun Glass Hut_Gold_OWNED</v>
          </cell>
          <cell r="I354" t="str">
            <v>0000003572 Streets At Southpoint</v>
          </cell>
          <cell r="J354" t="str">
            <v>Gold Inline</v>
          </cell>
          <cell r="K354">
            <v>0</v>
          </cell>
        </row>
        <row r="355">
          <cell r="C355">
            <v>3581</v>
          </cell>
          <cell r="D355" t="str">
            <v>Core</v>
          </cell>
          <cell r="E355" t="str">
            <v>Gold</v>
          </cell>
          <cell r="F355" t="str">
            <v>Gold Inline</v>
          </cell>
          <cell r="G355" t="str">
            <v>Core</v>
          </cell>
          <cell r="H355" t="str">
            <v>SG_02_01 Sun Glass Hut_Gold_OWNED</v>
          </cell>
          <cell r="I355" t="str">
            <v>0000003581 Desert Ridge Marketplace</v>
          </cell>
          <cell r="J355" t="str">
            <v>Gold Inline</v>
          </cell>
          <cell r="K355">
            <v>0</v>
          </cell>
        </row>
        <row r="356">
          <cell r="C356">
            <v>3594</v>
          </cell>
          <cell r="D356" t="str">
            <v>Core</v>
          </cell>
          <cell r="E356" t="str">
            <v>Gold</v>
          </cell>
          <cell r="F356" t="str">
            <v>Gold Kiosk</v>
          </cell>
          <cell r="G356" t="str">
            <v>Core</v>
          </cell>
          <cell r="H356" t="str">
            <v>SG_02_01 Sun Glass Hut_Gold_OWNED</v>
          </cell>
          <cell r="I356" t="str">
            <v>0000003594 The Mall at Robinson</v>
          </cell>
          <cell r="J356" t="str">
            <v>Gold Kiosk</v>
          </cell>
          <cell r="K356">
            <v>0</v>
          </cell>
        </row>
        <row r="357">
          <cell r="C357">
            <v>3666</v>
          </cell>
          <cell r="D357" t="str">
            <v>Core</v>
          </cell>
          <cell r="E357" t="str">
            <v>Gold</v>
          </cell>
          <cell r="F357" t="str">
            <v>Gold Kiosk</v>
          </cell>
          <cell r="G357" t="str">
            <v>Core</v>
          </cell>
          <cell r="H357" t="str">
            <v>SG_02_01 Sun Glass Hut_Gold_OWNED</v>
          </cell>
          <cell r="I357" t="str">
            <v>0000003666 Scarborough Town Centre</v>
          </cell>
          <cell r="J357" t="str">
            <v>Gold Kiosk</v>
          </cell>
          <cell r="K357">
            <v>0</v>
          </cell>
        </row>
        <row r="358">
          <cell r="C358">
            <v>3668</v>
          </cell>
          <cell r="D358" t="str">
            <v>Core</v>
          </cell>
          <cell r="E358" t="str">
            <v>Gold</v>
          </cell>
          <cell r="F358" t="str">
            <v>Gold Inline</v>
          </cell>
          <cell r="G358" t="str">
            <v>Core</v>
          </cell>
          <cell r="H358" t="str">
            <v>SG_02_01 Sun Glass Hut_Gold_OWNED</v>
          </cell>
          <cell r="I358" t="str">
            <v>0000003668 Galleria at Tyler</v>
          </cell>
          <cell r="J358" t="str">
            <v>Gold Inline</v>
          </cell>
          <cell r="K358">
            <v>0</v>
          </cell>
        </row>
        <row r="359">
          <cell r="C359">
            <v>3669</v>
          </cell>
          <cell r="D359" t="str">
            <v>Core</v>
          </cell>
          <cell r="E359" t="str">
            <v>Gold</v>
          </cell>
          <cell r="F359" t="str">
            <v>Gold Kiosk</v>
          </cell>
          <cell r="G359" t="str">
            <v>Core</v>
          </cell>
          <cell r="H359" t="str">
            <v>SG_02_01 Sun Glass Hut_Gold_OWNED</v>
          </cell>
          <cell r="I359" t="str">
            <v>0000003669 West Edmonton Mall</v>
          </cell>
          <cell r="J359" t="str">
            <v>Gold Kiosk</v>
          </cell>
          <cell r="K359">
            <v>0</v>
          </cell>
        </row>
        <row r="360">
          <cell r="C360">
            <v>3672</v>
          </cell>
          <cell r="D360" t="str">
            <v>Core</v>
          </cell>
          <cell r="E360" t="str">
            <v>Gold</v>
          </cell>
          <cell r="F360" t="str">
            <v>Gold Inline</v>
          </cell>
          <cell r="G360" t="str">
            <v>Core</v>
          </cell>
          <cell r="H360" t="str">
            <v>SG_02_01 Sun Glass Hut_Gold_OWNED</v>
          </cell>
          <cell r="I360" t="str">
            <v>0000003672 Augusta Mall</v>
          </cell>
          <cell r="J360" t="str">
            <v>Gold Inline</v>
          </cell>
          <cell r="K360">
            <v>0</v>
          </cell>
        </row>
        <row r="361">
          <cell r="C361">
            <v>3677</v>
          </cell>
          <cell r="D361" t="str">
            <v>Core</v>
          </cell>
          <cell r="E361" t="str">
            <v>Gold</v>
          </cell>
          <cell r="F361" t="str">
            <v>Gold Kiosk</v>
          </cell>
          <cell r="G361" t="str">
            <v>Core</v>
          </cell>
          <cell r="H361" t="str">
            <v>SG_02_01 Sun Glass Hut_Gold_OWNED</v>
          </cell>
          <cell r="I361" t="str">
            <v>0000003677 South Plains Mall</v>
          </cell>
          <cell r="J361" t="str">
            <v>Gold Kiosk</v>
          </cell>
          <cell r="K361">
            <v>0</v>
          </cell>
        </row>
        <row r="362">
          <cell r="C362">
            <v>3709</v>
          </cell>
          <cell r="D362" t="str">
            <v>Core</v>
          </cell>
          <cell r="E362" t="str">
            <v>Gold</v>
          </cell>
          <cell r="F362" t="str">
            <v>Gold Inline</v>
          </cell>
          <cell r="G362" t="str">
            <v>Core</v>
          </cell>
          <cell r="H362" t="str">
            <v>SG_02_01 Sun Glass Hut_Gold_OWNED</v>
          </cell>
          <cell r="I362" t="str">
            <v>0000003709 Palm Desert</v>
          </cell>
          <cell r="J362" t="str">
            <v>Gold Inline</v>
          </cell>
          <cell r="K362">
            <v>0</v>
          </cell>
        </row>
        <row r="363">
          <cell r="C363">
            <v>3712</v>
          </cell>
          <cell r="D363" t="str">
            <v>Core</v>
          </cell>
          <cell r="E363" t="str">
            <v>Gold</v>
          </cell>
          <cell r="F363" t="str">
            <v>Gold Inline</v>
          </cell>
          <cell r="G363" t="str">
            <v>Core</v>
          </cell>
          <cell r="H363" t="str">
            <v>SG_02_01 Sun Glass Hut_Gold_OWNED</v>
          </cell>
          <cell r="I363" t="str">
            <v>0000003712 Brandon Town Center</v>
          </cell>
          <cell r="J363" t="str">
            <v>Gold Inline</v>
          </cell>
          <cell r="K363">
            <v>0</v>
          </cell>
        </row>
        <row r="364">
          <cell r="C364">
            <v>3719</v>
          </cell>
          <cell r="D364" t="str">
            <v>Core</v>
          </cell>
          <cell r="E364" t="str">
            <v>Gold</v>
          </cell>
          <cell r="F364" t="str">
            <v>Gold Inline</v>
          </cell>
          <cell r="G364" t="str">
            <v>Core</v>
          </cell>
          <cell r="H364" t="str">
            <v>SG_02_01 Sun Glass Hut_Gold_OWNED</v>
          </cell>
          <cell r="I364" t="str">
            <v>0000003719 Burbank Town Center</v>
          </cell>
          <cell r="J364" t="str">
            <v>Gold Inline</v>
          </cell>
          <cell r="K364">
            <v>0</v>
          </cell>
        </row>
        <row r="365">
          <cell r="C365">
            <v>3721</v>
          </cell>
          <cell r="D365" t="str">
            <v>Core</v>
          </cell>
          <cell r="E365" t="str">
            <v>Gold</v>
          </cell>
          <cell r="F365" t="str">
            <v>Gold Inline</v>
          </cell>
          <cell r="G365" t="str">
            <v>Core</v>
          </cell>
          <cell r="H365" t="str">
            <v>SG_02_01 Sun Glass Hut_Gold_OWNED</v>
          </cell>
          <cell r="I365" t="str">
            <v>0000003721 Saint Louis Galleria</v>
          </cell>
          <cell r="J365" t="str">
            <v>Gold Inline</v>
          </cell>
          <cell r="K365">
            <v>0</v>
          </cell>
        </row>
        <row r="366">
          <cell r="C366">
            <v>3737</v>
          </cell>
          <cell r="D366" t="str">
            <v>Core</v>
          </cell>
          <cell r="E366" t="str">
            <v>Gold</v>
          </cell>
          <cell r="F366" t="str">
            <v>Gold Inline</v>
          </cell>
          <cell r="G366" t="str">
            <v>Core</v>
          </cell>
          <cell r="H366" t="str">
            <v>SG_02_01 Sun Glass Hut_Gold_OWNED</v>
          </cell>
          <cell r="I366" t="str">
            <v>0000003737 Cary Towne Center</v>
          </cell>
          <cell r="J366" t="str">
            <v>Gold Inline</v>
          </cell>
          <cell r="K366">
            <v>0</v>
          </cell>
        </row>
        <row r="367">
          <cell r="C367">
            <v>3741</v>
          </cell>
          <cell r="D367" t="str">
            <v>Core</v>
          </cell>
          <cell r="E367" t="str">
            <v>Gold</v>
          </cell>
          <cell r="F367" t="str">
            <v>Gold Kiosk</v>
          </cell>
          <cell r="G367" t="str">
            <v>Core</v>
          </cell>
          <cell r="H367" t="str">
            <v>SG_02_01 Sun Glass Hut_Gold_OWNED</v>
          </cell>
          <cell r="I367" t="str">
            <v>0000003741 Mall St Vincent</v>
          </cell>
          <cell r="J367" t="str">
            <v>Gold Kiosk</v>
          </cell>
          <cell r="K367">
            <v>0</v>
          </cell>
        </row>
        <row r="368">
          <cell r="C368">
            <v>3745</v>
          </cell>
          <cell r="D368" t="str">
            <v>Core</v>
          </cell>
          <cell r="E368" t="str">
            <v>Gold</v>
          </cell>
          <cell r="F368" t="str">
            <v>Gold Inline</v>
          </cell>
          <cell r="G368" t="str">
            <v>Core</v>
          </cell>
          <cell r="H368" t="str">
            <v>SG_02_01 Sun Glass Hut_Gold_OWNED</v>
          </cell>
          <cell r="I368" t="str">
            <v>0000003745 Seminole Towne Center</v>
          </cell>
          <cell r="J368" t="str">
            <v>Gold Inline</v>
          </cell>
          <cell r="K368">
            <v>0</v>
          </cell>
        </row>
        <row r="369">
          <cell r="C369">
            <v>3749</v>
          </cell>
          <cell r="D369" t="str">
            <v>Core</v>
          </cell>
          <cell r="E369" t="str">
            <v>Gold</v>
          </cell>
          <cell r="F369" t="str">
            <v>Gold Inline</v>
          </cell>
          <cell r="G369" t="str">
            <v>Core</v>
          </cell>
          <cell r="H369" t="str">
            <v>SG_02_01 Sun Glass Hut_Gold_OWNED</v>
          </cell>
          <cell r="I369" t="str">
            <v>0000003749 Coastland Center</v>
          </cell>
          <cell r="J369" t="str">
            <v>Gold Inline</v>
          </cell>
          <cell r="K369">
            <v>0</v>
          </cell>
        </row>
        <row r="370">
          <cell r="C370">
            <v>3757</v>
          </cell>
          <cell r="D370" t="str">
            <v>Core</v>
          </cell>
          <cell r="E370" t="str">
            <v>Gold</v>
          </cell>
          <cell r="F370" t="str">
            <v>Gold Inline</v>
          </cell>
          <cell r="G370" t="str">
            <v>Core</v>
          </cell>
          <cell r="H370" t="str">
            <v>SG_02_01 Sun Glass Hut_Gold_OWNED</v>
          </cell>
          <cell r="I370" t="str">
            <v>0000003757 Washington Square</v>
          </cell>
          <cell r="J370" t="str">
            <v>Gold Inline</v>
          </cell>
          <cell r="K370">
            <v>0</v>
          </cell>
        </row>
        <row r="371">
          <cell r="C371">
            <v>3776</v>
          </cell>
          <cell r="D371" t="str">
            <v>Core</v>
          </cell>
          <cell r="E371" t="str">
            <v>Gold</v>
          </cell>
          <cell r="F371" t="str">
            <v>Gold Inline</v>
          </cell>
          <cell r="G371" t="str">
            <v>Core</v>
          </cell>
          <cell r="H371" t="str">
            <v>SG_02_01 Sun Glass Hut_Gold_OWNED</v>
          </cell>
          <cell r="I371" t="str">
            <v>0000003776 Fig At 7th</v>
          </cell>
          <cell r="J371" t="str">
            <v>Gold Inline</v>
          </cell>
          <cell r="K371">
            <v>0</v>
          </cell>
        </row>
        <row r="372">
          <cell r="C372">
            <v>3850</v>
          </cell>
          <cell r="D372" t="str">
            <v>Core</v>
          </cell>
          <cell r="E372" t="str">
            <v>Gold</v>
          </cell>
          <cell r="F372" t="str">
            <v>Gold Inline</v>
          </cell>
          <cell r="G372" t="str">
            <v>Core</v>
          </cell>
          <cell r="H372" t="str">
            <v>SG_02_01 Sun Glass Hut_Gold_OWNED</v>
          </cell>
          <cell r="I372" t="str">
            <v>0000003850 Shops At Liberty</v>
          </cell>
          <cell r="J372" t="str">
            <v>Gold Inline</v>
          </cell>
          <cell r="K372">
            <v>0</v>
          </cell>
        </row>
        <row r="373">
          <cell r="C373">
            <v>3853</v>
          </cell>
          <cell r="D373" t="str">
            <v>Core</v>
          </cell>
          <cell r="E373" t="str">
            <v>Gold</v>
          </cell>
          <cell r="F373" t="str">
            <v>Gold Inline</v>
          </cell>
          <cell r="G373" t="str">
            <v>Core</v>
          </cell>
          <cell r="H373" t="str">
            <v>SG_02_01 Sun Glass Hut_Gold_OWNED</v>
          </cell>
          <cell r="I373" t="str">
            <v>0000003853 Hamilton Place</v>
          </cell>
          <cell r="J373" t="str">
            <v>Gold Inline</v>
          </cell>
          <cell r="K373">
            <v>0</v>
          </cell>
        </row>
        <row r="374">
          <cell r="C374">
            <v>3924</v>
          </cell>
          <cell r="D374" t="str">
            <v>Core</v>
          </cell>
          <cell r="E374" t="str">
            <v>Gold</v>
          </cell>
          <cell r="F374" t="str">
            <v>Gold Inline</v>
          </cell>
          <cell r="G374" t="str">
            <v>Core</v>
          </cell>
          <cell r="H374" t="str">
            <v>SG_02_01 Sun Glass Hut_Gold_OWNED</v>
          </cell>
          <cell r="I374" t="str">
            <v>0000003924 Broward Mall</v>
          </cell>
          <cell r="J374" t="str">
            <v>Gold Inline</v>
          </cell>
          <cell r="K374">
            <v>0</v>
          </cell>
        </row>
        <row r="375">
          <cell r="C375">
            <v>3929</v>
          </cell>
          <cell r="D375" t="str">
            <v>Core</v>
          </cell>
          <cell r="E375" t="str">
            <v>Gold</v>
          </cell>
          <cell r="F375" t="str">
            <v>Gold Inline</v>
          </cell>
          <cell r="G375" t="str">
            <v>Core</v>
          </cell>
          <cell r="H375" t="str">
            <v>SG_02_01 Sun Glass Hut_Gold_OWNED</v>
          </cell>
          <cell r="I375" t="str">
            <v>0000003929 Antelope Valley Mall</v>
          </cell>
          <cell r="J375" t="str">
            <v>Gold Inline</v>
          </cell>
          <cell r="K375">
            <v>0</v>
          </cell>
        </row>
        <row r="376">
          <cell r="C376">
            <v>3930</v>
          </cell>
          <cell r="D376" t="str">
            <v>Core</v>
          </cell>
          <cell r="E376" t="str">
            <v>Gold</v>
          </cell>
          <cell r="F376" t="str">
            <v>Gold Inline</v>
          </cell>
          <cell r="G376" t="str">
            <v>Core</v>
          </cell>
          <cell r="H376" t="str">
            <v>SG_02_01 Sun Glass Hut_Gold_OWNED</v>
          </cell>
          <cell r="I376" t="str">
            <v>0000003930 Stonewood Center</v>
          </cell>
          <cell r="J376" t="str">
            <v>Gold Inline</v>
          </cell>
          <cell r="K376">
            <v>0</v>
          </cell>
        </row>
        <row r="377">
          <cell r="C377">
            <v>3931</v>
          </cell>
          <cell r="D377" t="str">
            <v>Core</v>
          </cell>
          <cell r="E377" t="str">
            <v>Gold</v>
          </cell>
          <cell r="F377" t="str">
            <v>Gold Inline</v>
          </cell>
          <cell r="G377" t="str">
            <v>Core</v>
          </cell>
          <cell r="H377" t="str">
            <v>SG_02_01 Sun Glass Hut_Gold_OWNED</v>
          </cell>
          <cell r="I377" t="str">
            <v>0000003931 Mall Of Victor Valley</v>
          </cell>
          <cell r="J377" t="str">
            <v>Gold Inline</v>
          </cell>
          <cell r="K377">
            <v>0</v>
          </cell>
        </row>
        <row r="378">
          <cell r="C378">
            <v>3933</v>
          </cell>
          <cell r="D378" t="str">
            <v>Core</v>
          </cell>
          <cell r="E378" t="str">
            <v>Gold</v>
          </cell>
          <cell r="F378" t="str">
            <v>Gold Inline</v>
          </cell>
          <cell r="G378" t="str">
            <v>Core</v>
          </cell>
          <cell r="H378" t="str">
            <v>SG_02_01 Sun Glass Hut_Gold_OWNED</v>
          </cell>
          <cell r="I378" t="str">
            <v>0000003933 Kukui Grove Center</v>
          </cell>
          <cell r="J378" t="str">
            <v>Gold Inline</v>
          </cell>
          <cell r="K378">
            <v>0</v>
          </cell>
        </row>
        <row r="379">
          <cell r="C379">
            <v>3938</v>
          </cell>
          <cell r="D379" t="str">
            <v>Core</v>
          </cell>
          <cell r="E379" t="str">
            <v>Gold</v>
          </cell>
          <cell r="F379" t="str">
            <v>Gold Inline</v>
          </cell>
          <cell r="G379" t="str">
            <v>Core</v>
          </cell>
          <cell r="H379" t="str">
            <v>SG_02_01 Sun Glass Hut_Gold_OWNED</v>
          </cell>
          <cell r="I379" t="str">
            <v>0000003938 The Shops at Willow Bend</v>
          </cell>
          <cell r="J379" t="str">
            <v>Gold Inline</v>
          </cell>
          <cell r="K379">
            <v>0</v>
          </cell>
        </row>
        <row r="380">
          <cell r="C380">
            <v>3952</v>
          </cell>
          <cell r="D380" t="str">
            <v>Core</v>
          </cell>
          <cell r="E380" t="str">
            <v>Gold</v>
          </cell>
          <cell r="F380" t="str">
            <v>Gold Inline</v>
          </cell>
          <cell r="G380" t="str">
            <v>Core</v>
          </cell>
          <cell r="H380" t="str">
            <v>SG_02_01 Sun Glass Hut_Gold_OWNED</v>
          </cell>
          <cell r="I380" t="str">
            <v>0000003952 Bay St</v>
          </cell>
          <cell r="J380" t="str">
            <v>Gold Inline</v>
          </cell>
          <cell r="K380">
            <v>0</v>
          </cell>
        </row>
        <row r="381">
          <cell r="C381">
            <v>3962</v>
          </cell>
          <cell r="D381" t="str">
            <v>Core</v>
          </cell>
          <cell r="E381" t="str">
            <v>Gold</v>
          </cell>
          <cell r="F381" t="str">
            <v>Gold Inline</v>
          </cell>
          <cell r="G381" t="str">
            <v>Core</v>
          </cell>
          <cell r="H381" t="str">
            <v>SG_02_01 Sun Glass Hut_Gold_OWNED</v>
          </cell>
          <cell r="I381" t="str">
            <v>0000003962 Hulen Mall</v>
          </cell>
          <cell r="J381" t="str">
            <v>Gold Inline</v>
          </cell>
          <cell r="K381">
            <v>0</v>
          </cell>
        </row>
        <row r="382">
          <cell r="C382">
            <v>3963</v>
          </cell>
          <cell r="D382" t="str">
            <v>Core</v>
          </cell>
          <cell r="E382" t="str">
            <v>Gold</v>
          </cell>
          <cell r="F382" t="str">
            <v>Gold Inline</v>
          </cell>
          <cell r="G382" t="str">
            <v>Core</v>
          </cell>
          <cell r="H382" t="str">
            <v>SG_02_01 Sun Glass Hut_Gold_OWNED</v>
          </cell>
          <cell r="I382" t="str">
            <v>0000003963 West County Center</v>
          </cell>
          <cell r="J382" t="str">
            <v>Gold Inline</v>
          </cell>
          <cell r="K382">
            <v>0</v>
          </cell>
        </row>
        <row r="383">
          <cell r="C383">
            <v>3965</v>
          </cell>
          <cell r="D383" t="str">
            <v>Core</v>
          </cell>
          <cell r="E383" t="str">
            <v>Gold</v>
          </cell>
          <cell r="F383" t="str">
            <v>Gold Inline</v>
          </cell>
          <cell r="G383" t="str">
            <v>Core</v>
          </cell>
          <cell r="H383" t="str">
            <v>SG_02_01 Sun Glass Hut_Gold_OWNED</v>
          </cell>
          <cell r="I383" t="str">
            <v>0000003965 Hillsdale Shopping Center</v>
          </cell>
          <cell r="J383" t="str">
            <v>Gold Inline</v>
          </cell>
          <cell r="K383">
            <v>0</v>
          </cell>
        </row>
        <row r="384">
          <cell r="C384">
            <v>3966</v>
          </cell>
          <cell r="D384" t="str">
            <v>Core</v>
          </cell>
          <cell r="E384" t="str">
            <v>Gold</v>
          </cell>
          <cell r="F384" t="str">
            <v>Gold Inline</v>
          </cell>
          <cell r="G384" t="str">
            <v>Core</v>
          </cell>
          <cell r="H384" t="str">
            <v>SG_02_01 Sun Glass Hut_Gold_OWNED</v>
          </cell>
          <cell r="I384" t="str">
            <v>0000003966 Yorktown Center</v>
          </cell>
          <cell r="J384" t="str">
            <v>Gold Inline</v>
          </cell>
          <cell r="K384">
            <v>0</v>
          </cell>
        </row>
        <row r="385">
          <cell r="C385">
            <v>4028</v>
          </cell>
          <cell r="D385" t="str">
            <v>Core</v>
          </cell>
          <cell r="E385" t="str">
            <v>Gold</v>
          </cell>
          <cell r="F385" t="str">
            <v>Gold Inline</v>
          </cell>
          <cell r="G385" t="str">
            <v>Core</v>
          </cell>
          <cell r="H385" t="str">
            <v>SG_02_01 Sun Glass Hut_Gold_OWNED</v>
          </cell>
          <cell r="I385" t="str">
            <v>0000004028 Woodfield Mall</v>
          </cell>
          <cell r="J385" t="str">
            <v>Gold Inline</v>
          </cell>
          <cell r="K385">
            <v>0</v>
          </cell>
        </row>
        <row r="386">
          <cell r="C386">
            <v>4031</v>
          </cell>
          <cell r="D386" t="str">
            <v>Core</v>
          </cell>
          <cell r="E386" t="str">
            <v>Gold</v>
          </cell>
          <cell r="F386" t="str">
            <v>Gold Inline</v>
          </cell>
          <cell r="G386" t="str">
            <v>Core</v>
          </cell>
          <cell r="H386" t="str">
            <v>SG_02_01 Sun Glass Hut_Gold_OWNED</v>
          </cell>
          <cell r="I386" t="str">
            <v>0000004031 Westfarms Mall</v>
          </cell>
          <cell r="J386" t="str">
            <v>Gold Inline</v>
          </cell>
          <cell r="K386">
            <v>0</v>
          </cell>
        </row>
        <row r="387">
          <cell r="C387">
            <v>4033</v>
          </cell>
          <cell r="D387" t="str">
            <v>Core</v>
          </cell>
          <cell r="E387" t="str">
            <v>Gold</v>
          </cell>
          <cell r="F387" t="str">
            <v>Gold Inline</v>
          </cell>
          <cell r="G387" t="str">
            <v>Core</v>
          </cell>
          <cell r="H387" t="str">
            <v>SG_02_01 Sun Glass Hut_Gold_OWNED</v>
          </cell>
          <cell r="I387" t="str">
            <v>0000004033 Lakeforest Mall</v>
          </cell>
          <cell r="J387" t="str">
            <v>Gold Inline</v>
          </cell>
          <cell r="K387">
            <v>0</v>
          </cell>
        </row>
        <row r="388">
          <cell r="C388">
            <v>4049</v>
          </cell>
          <cell r="D388" t="str">
            <v>Core</v>
          </cell>
          <cell r="E388" t="str">
            <v>Gold</v>
          </cell>
          <cell r="F388" t="str">
            <v>Gold Inline</v>
          </cell>
          <cell r="G388" t="str">
            <v>Core</v>
          </cell>
          <cell r="H388" t="str">
            <v>SG_02_01 Sun Glass Hut_Gold_OWNED</v>
          </cell>
          <cell r="I388" t="str">
            <v>0000004049 Furtado Building</v>
          </cell>
          <cell r="J388" t="str">
            <v>Gold Inline</v>
          </cell>
          <cell r="K388">
            <v>0</v>
          </cell>
        </row>
        <row r="389">
          <cell r="C389">
            <v>4050</v>
          </cell>
          <cell r="D389" t="str">
            <v>Core</v>
          </cell>
          <cell r="E389" t="str">
            <v>Gold</v>
          </cell>
          <cell r="F389" t="str">
            <v>Gold Inline</v>
          </cell>
          <cell r="G389" t="str">
            <v>Core</v>
          </cell>
          <cell r="H389" t="str">
            <v>SG_02_01 Sun Glass Hut_Gold_OWNED</v>
          </cell>
          <cell r="I389" t="str">
            <v>0000004050 Kimos Building</v>
          </cell>
          <cell r="J389" t="str">
            <v>Gold Inline</v>
          </cell>
          <cell r="K389">
            <v>0</v>
          </cell>
        </row>
        <row r="390">
          <cell r="C390">
            <v>4058</v>
          </cell>
          <cell r="D390" t="str">
            <v>Core</v>
          </cell>
          <cell r="E390" t="str">
            <v>Gold</v>
          </cell>
          <cell r="F390" t="str">
            <v>Gold Inline</v>
          </cell>
          <cell r="G390" t="str">
            <v>Core</v>
          </cell>
          <cell r="H390" t="str">
            <v>SG_02_01 Sun Glass Hut_Gold_OWNED</v>
          </cell>
          <cell r="I390" t="str">
            <v>0000004058 Old Orchard Mall</v>
          </cell>
          <cell r="J390" t="str">
            <v>Gold Inline</v>
          </cell>
          <cell r="K390">
            <v>0</v>
          </cell>
        </row>
        <row r="391">
          <cell r="C391">
            <v>4059</v>
          </cell>
          <cell r="D391" t="str">
            <v>Core</v>
          </cell>
          <cell r="E391" t="str">
            <v>Gold</v>
          </cell>
          <cell r="F391" t="str">
            <v>Gold Inline</v>
          </cell>
          <cell r="G391" t="str">
            <v>Core</v>
          </cell>
          <cell r="H391" t="str">
            <v>SG_02_01 Sun Glass Hut_Gold_OWNED</v>
          </cell>
          <cell r="I391" t="str">
            <v>0000004059 Park Royal Shopping Centre</v>
          </cell>
          <cell r="J391" t="str">
            <v>Gold Inline</v>
          </cell>
          <cell r="K391">
            <v>0</v>
          </cell>
        </row>
        <row r="392">
          <cell r="C392">
            <v>4061</v>
          </cell>
          <cell r="D392" t="str">
            <v>Core</v>
          </cell>
          <cell r="E392" t="str">
            <v>Gold</v>
          </cell>
          <cell r="F392" t="str">
            <v>Gold Inline</v>
          </cell>
          <cell r="G392" t="str">
            <v>Core</v>
          </cell>
          <cell r="H392" t="str">
            <v>SG_02_01 Sun Glass Hut_Gold_OWNED</v>
          </cell>
          <cell r="I392" t="str">
            <v>0000004061 Georgian Mall</v>
          </cell>
          <cell r="J392" t="str">
            <v>Gold Inline</v>
          </cell>
          <cell r="K392">
            <v>0</v>
          </cell>
        </row>
        <row r="393">
          <cell r="C393">
            <v>4062</v>
          </cell>
          <cell r="D393" t="str">
            <v>Core</v>
          </cell>
          <cell r="E393" t="str">
            <v>Gold</v>
          </cell>
          <cell r="F393" t="str">
            <v>Gold Inline</v>
          </cell>
          <cell r="G393" t="str">
            <v>Core</v>
          </cell>
          <cell r="H393" t="str">
            <v>SG_02_01 Sun Glass Hut_Gold_OWNED</v>
          </cell>
          <cell r="I393" t="str">
            <v>0000004062 Bridgehampton Commons</v>
          </cell>
          <cell r="J393" t="str">
            <v>Gold Inline</v>
          </cell>
          <cell r="K393">
            <v>0</v>
          </cell>
        </row>
        <row r="394">
          <cell r="C394">
            <v>4065</v>
          </cell>
          <cell r="D394" t="str">
            <v>Core</v>
          </cell>
          <cell r="E394" t="str">
            <v>Gold</v>
          </cell>
          <cell r="F394" t="str">
            <v>Gold Inline</v>
          </cell>
          <cell r="G394" t="str">
            <v>Core</v>
          </cell>
          <cell r="H394" t="str">
            <v>SG_02_01 Sun Glass Hut_Gold_OWNED</v>
          </cell>
          <cell r="I394" t="str">
            <v>0000004065 Holt Renfrew Centre</v>
          </cell>
          <cell r="J394" t="str">
            <v>Gold Inline</v>
          </cell>
          <cell r="K394">
            <v>0</v>
          </cell>
        </row>
        <row r="395">
          <cell r="C395">
            <v>4068</v>
          </cell>
          <cell r="D395" t="str">
            <v>Core</v>
          </cell>
          <cell r="E395" t="str">
            <v>Gold</v>
          </cell>
          <cell r="F395" t="str">
            <v>Gold Kiosk</v>
          </cell>
          <cell r="G395" t="str">
            <v>Core</v>
          </cell>
          <cell r="H395" t="str">
            <v>SG_02_01 Sun Glass Hut_Gold_OWNED</v>
          </cell>
          <cell r="I395" t="str">
            <v>0000004068 Sante Fe Place Mall</v>
          </cell>
          <cell r="J395" t="str">
            <v>Gold Kiosk</v>
          </cell>
          <cell r="K395">
            <v>0</v>
          </cell>
        </row>
        <row r="396">
          <cell r="C396">
            <v>4074</v>
          </cell>
          <cell r="D396" t="str">
            <v>Core</v>
          </cell>
          <cell r="E396" t="str">
            <v>Gold</v>
          </cell>
          <cell r="F396" t="str">
            <v>Gold Inline</v>
          </cell>
          <cell r="G396" t="str">
            <v>Core</v>
          </cell>
          <cell r="H396" t="str">
            <v>SG_02_01 Sun Glass Hut_Gold_OWNED</v>
          </cell>
          <cell r="I396" t="str">
            <v>0000004074 Twelve Oaks Mall</v>
          </cell>
          <cell r="J396" t="str">
            <v>Gold Inline</v>
          </cell>
          <cell r="K396">
            <v>0</v>
          </cell>
        </row>
        <row r="397">
          <cell r="C397">
            <v>4085</v>
          </cell>
          <cell r="D397" t="str">
            <v>Core</v>
          </cell>
          <cell r="E397" t="str">
            <v>Gold</v>
          </cell>
          <cell r="F397" t="str">
            <v>Gold Kiosk</v>
          </cell>
          <cell r="G397" t="str">
            <v>Core</v>
          </cell>
          <cell r="H397" t="str">
            <v>SG_02_01 Sun Glass Hut_Gold_OWNED</v>
          </cell>
          <cell r="I397" t="str">
            <v>0000004085 The Woodlands Mall</v>
          </cell>
          <cell r="J397" t="str">
            <v>Gold Kiosk</v>
          </cell>
          <cell r="K397">
            <v>0</v>
          </cell>
        </row>
        <row r="398">
          <cell r="C398">
            <v>4089</v>
          </cell>
          <cell r="D398" t="str">
            <v>Core</v>
          </cell>
          <cell r="E398" t="str">
            <v>Gold</v>
          </cell>
          <cell r="F398" t="str">
            <v>Gold Inline</v>
          </cell>
          <cell r="G398" t="str">
            <v>Core</v>
          </cell>
          <cell r="H398" t="str">
            <v>SG_02_01 Sun Glass Hut_Gold_OWNED</v>
          </cell>
          <cell r="I398" t="str">
            <v>0000004089 Devonshire Mall</v>
          </cell>
          <cell r="J398" t="str">
            <v>Gold Inline</v>
          </cell>
          <cell r="K398">
            <v>0</v>
          </cell>
        </row>
        <row r="399">
          <cell r="C399">
            <v>4091</v>
          </cell>
          <cell r="D399" t="str">
            <v>Core</v>
          </cell>
          <cell r="E399" t="str">
            <v>Gold</v>
          </cell>
          <cell r="F399" t="str">
            <v>Gold Inline</v>
          </cell>
          <cell r="G399" t="str">
            <v>Core</v>
          </cell>
          <cell r="H399" t="str">
            <v>SG_02_01 Sun Glass Hut_Gold_OWNED</v>
          </cell>
          <cell r="I399" t="str">
            <v>0000004091 The Gardens Mall</v>
          </cell>
          <cell r="J399" t="str">
            <v>Gold Inline</v>
          </cell>
          <cell r="K399">
            <v>0</v>
          </cell>
        </row>
        <row r="400">
          <cell r="C400">
            <v>4093</v>
          </cell>
          <cell r="D400" t="str">
            <v>Core</v>
          </cell>
          <cell r="E400" t="str">
            <v>Gold</v>
          </cell>
          <cell r="F400" t="str">
            <v>Gold Inline</v>
          </cell>
          <cell r="G400" t="str">
            <v>Core</v>
          </cell>
          <cell r="H400" t="str">
            <v>SG_02_01 Sun Glass Hut_Gold_OWNED</v>
          </cell>
          <cell r="I400" t="str">
            <v>0000004093 St Vital Centre</v>
          </cell>
          <cell r="J400" t="str">
            <v>Gold Inline</v>
          </cell>
          <cell r="K400">
            <v>0</v>
          </cell>
        </row>
        <row r="401">
          <cell r="C401">
            <v>4097</v>
          </cell>
          <cell r="D401" t="str">
            <v>Core</v>
          </cell>
          <cell r="E401" t="str">
            <v>Gold</v>
          </cell>
          <cell r="F401" t="str">
            <v>Gold Inline</v>
          </cell>
          <cell r="G401" t="str">
            <v>Core</v>
          </cell>
          <cell r="H401" t="str">
            <v>SG_02_01 Sun Glass Hut_Gold_OWNED</v>
          </cell>
          <cell r="I401" t="str">
            <v>0000004097 Richmond Centre</v>
          </cell>
          <cell r="J401" t="str">
            <v>Gold Inline</v>
          </cell>
          <cell r="K401">
            <v>0</v>
          </cell>
        </row>
        <row r="402">
          <cell r="C402">
            <v>4098</v>
          </cell>
          <cell r="D402" t="str">
            <v>Core</v>
          </cell>
          <cell r="E402" t="str">
            <v>Gold</v>
          </cell>
          <cell r="F402" t="str">
            <v>Gold Inline</v>
          </cell>
          <cell r="G402" t="str">
            <v>Core</v>
          </cell>
          <cell r="H402" t="str">
            <v>SG_02_01 Sun Glass Hut_Gold_OWNED</v>
          </cell>
          <cell r="I402" t="str">
            <v>0000004098 Lime Ridge Mall</v>
          </cell>
          <cell r="J402" t="str">
            <v>Gold Inline</v>
          </cell>
          <cell r="K402">
            <v>0</v>
          </cell>
        </row>
        <row r="403">
          <cell r="C403">
            <v>4101</v>
          </cell>
          <cell r="D403" t="str">
            <v>Core</v>
          </cell>
          <cell r="E403" t="str">
            <v>Gold</v>
          </cell>
          <cell r="F403" t="str">
            <v>Gold Kiosk</v>
          </cell>
          <cell r="G403" t="str">
            <v>Core</v>
          </cell>
          <cell r="H403" t="str">
            <v>SG_02_01 Sun Glass Hut_Gold_OWNED</v>
          </cell>
          <cell r="I403" t="str">
            <v>0000004101 Dadeland Mall</v>
          </cell>
          <cell r="J403" t="str">
            <v>Gold Kiosk</v>
          </cell>
          <cell r="K403">
            <v>0</v>
          </cell>
        </row>
        <row r="404">
          <cell r="C404">
            <v>4112</v>
          </cell>
          <cell r="D404" t="str">
            <v>Core</v>
          </cell>
          <cell r="E404" t="str">
            <v>Gold</v>
          </cell>
          <cell r="F404" t="str">
            <v>Gold Inline</v>
          </cell>
          <cell r="G404" t="str">
            <v>Core</v>
          </cell>
          <cell r="H404" t="str">
            <v>SG_02_01 Sun Glass Hut_Gold_OWNED</v>
          </cell>
          <cell r="I404" t="str">
            <v>0000004112 Altamonte Mall</v>
          </cell>
          <cell r="J404" t="str">
            <v>Gold Inline</v>
          </cell>
          <cell r="K404">
            <v>0</v>
          </cell>
        </row>
        <row r="405">
          <cell r="C405">
            <v>4123</v>
          </cell>
          <cell r="D405" t="str">
            <v>Core</v>
          </cell>
          <cell r="E405" t="str">
            <v>Gold</v>
          </cell>
          <cell r="F405" t="str">
            <v>Gold Inline</v>
          </cell>
          <cell r="G405" t="str">
            <v>Core</v>
          </cell>
          <cell r="H405" t="str">
            <v>SG_02_01 Sun Glass Hut_Gold_OWNED</v>
          </cell>
          <cell r="I405" t="str">
            <v>0000004123 Downtown Centre</v>
          </cell>
          <cell r="J405" t="str">
            <v>Gold Inline</v>
          </cell>
          <cell r="K405">
            <v>0</v>
          </cell>
        </row>
        <row r="406">
          <cell r="C406">
            <v>4126</v>
          </cell>
          <cell r="D406" t="str">
            <v>Core</v>
          </cell>
          <cell r="E406" t="str">
            <v>Gold</v>
          </cell>
          <cell r="F406" t="str">
            <v>Gold Kiosk</v>
          </cell>
          <cell r="G406" t="str">
            <v>Core</v>
          </cell>
          <cell r="H406" t="str">
            <v>SG_02_01 Sun Glass Hut_Gold_OWNED</v>
          </cell>
          <cell r="I406" t="str">
            <v>0000004126 Fashion Fair Mall</v>
          </cell>
          <cell r="J406" t="str">
            <v>Gold Kiosk</v>
          </cell>
          <cell r="K406">
            <v>0</v>
          </cell>
        </row>
        <row r="407">
          <cell r="C407">
            <v>4131</v>
          </cell>
          <cell r="D407" t="str">
            <v>Core</v>
          </cell>
          <cell r="E407" t="str">
            <v>Gold</v>
          </cell>
          <cell r="F407" t="str">
            <v>Gold Inline</v>
          </cell>
          <cell r="G407" t="str">
            <v>Core</v>
          </cell>
          <cell r="H407" t="str">
            <v>SG_02_01 Sun Glass Hut_Gold_OWNED</v>
          </cell>
          <cell r="I407" t="str">
            <v>0000004131 Fox Valley Mall</v>
          </cell>
          <cell r="J407" t="str">
            <v>Gold Inline</v>
          </cell>
          <cell r="K407">
            <v>0</v>
          </cell>
        </row>
        <row r="408">
          <cell r="C408">
            <v>4132</v>
          </cell>
          <cell r="D408" t="str">
            <v>Core</v>
          </cell>
          <cell r="E408" t="str">
            <v>Gold</v>
          </cell>
          <cell r="F408" t="str">
            <v>Gold Inline</v>
          </cell>
          <cell r="G408" t="str">
            <v>Core</v>
          </cell>
          <cell r="H408" t="str">
            <v>SG_02_01 Sun Glass Hut_Gold_OWNED</v>
          </cell>
          <cell r="I408" t="str">
            <v>0000004132 Valencia Town Center</v>
          </cell>
          <cell r="J408" t="str">
            <v>Gold Inline</v>
          </cell>
          <cell r="K408">
            <v>0</v>
          </cell>
        </row>
        <row r="409">
          <cell r="C409">
            <v>4136</v>
          </cell>
          <cell r="D409" t="str">
            <v>Core</v>
          </cell>
          <cell r="E409" t="str">
            <v>Gold</v>
          </cell>
          <cell r="F409" t="str">
            <v>Gold Inline</v>
          </cell>
          <cell r="G409" t="str">
            <v>Core</v>
          </cell>
          <cell r="H409" t="str">
            <v>SG_02_01 Sun Glass Hut_Gold_OWNED</v>
          </cell>
          <cell r="I409" t="str">
            <v>0000004136 Pointe Orlando</v>
          </cell>
          <cell r="J409" t="str">
            <v>Gold Inline</v>
          </cell>
          <cell r="K409">
            <v>0</v>
          </cell>
        </row>
        <row r="410">
          <cell r="C410">
            <v>4138</v>
          </cell>
          <cell r="D410" t="str">
            <v>Core</v>
          </cell>
          <cell r="E410" t="str">
            <v>Gold</v>
          </cell>
          <cell r="F410" t="str">
            <v>Gold Inline</v>
          </cell>
          <cell r="G410" t="str">
            <v>Core</v>
          </cell>
          <cell r="H410" t="str">
            <v>SG_02_01 Sun Glass Hut_Gold_OWNED</v>
          </cell>
          <cell r="I410" t="str">
            <v>0000004138 Coronado Center</v>
          </cell>
          <cell r="J410" t="str">
            <v>Gold Inline</v>
          </cell>
          <cell r="K410">
            <v>0</v>
          </cell>
        </row>
        <row r="411">
          <cell r="C411">
            <v>4144</v>
          </cell>
          <cell r="D411" t="str">
            <v>Core</v>
          </cell>
          <cell r="E411" t="str">
            <v>Gold</v>
          </cell>
          <cell r="F411" t="str">
            <v>Gold Inline</v>
          </cell>
          <cell r="G411" t="str">
            <v>Core</v>
          </cell>
          <cell r="H411" t="str">
            <v>SG_02_01 Sun Glass Hut_Gold_OWNED</v>
          </cell>
          <cell r="I411" t="str">
            <v>0000004144 Crossgates Mall</v>
          </cell>
          <cell r="J411" t="str">
            <v>Gold Inline</v>
          </cell>
          <cell r="K411">
            <v>0</v>
          </cell>
        </row>
        <row r="412">
          <cell r="C412">
            <v>4145</v>
          </cell>
          <cell r="D412" t="str">
            <v>Core</v>
          </cell>
          <cell r="E412" t="str">
            <v>Gold</v>
          </cell>
          <cell r="F412" t="str">
            <v>Gold Kiosk</v>
          </cell>
          <cell r="G412" t="str">
            <v>Core</v>
          </cell>
          <cell r="H412" t="str">
            <v>SG_02_01 Sun Glass Hut_Gold_OWNED</v>
          </cell>
          <cell r="I412" t="str">
            <v>0000004145 Coral Square Mall</v>
          </cell>
          <cell r="J412" t="str">
            <v>Gold Kiosk</v>
          </cell>
          <cell r="K412">
            <v>0</v>
          </cell>
        </row>
        <row r="413">
          <cell r="C413">
            <v>4154</v>
          </cell>
          <cell r="D413" t="str">
            <v>Core</v>
          </cell>
          <cell r="E413" t="str">
            <v>Gold</v>
          </cell>
          <cell r="F413" t="str">
            <v>Gold Inline</v>
          </cell>
          <cell r="G413" t="str">
            <v>Core</v>
          </cell>
          <cell r="H413" t="str">
            <v>SG_02_01 Sun Glass Hut_Gold_OWNED</v>
          </cell>
          <cell r="I413" t="str">
            <v>0000004154 Cumberland Mall</v>
          </cell>
          <cell r="J413" t="str">
            <v>Gold Inline</v>
          </cell>
          <cell r="K413">
            <v>0</v>
          </cell>
        </row>
        <row r="414">
          <cell r="C414">
            <v>4157</v>
          </cell>
          <cell r="D414" t="str">
            <v>Core</v>
          </cell>
          <cell r="E414" t="str">
            <v>Gold</v>
          </cell>
          <cell r="F414" t="str">
            <v>Gold Kiosk</v>
          </cell>
          <cell r="G414" t="str">
            <v>Core</v>
          </cell>
          <cell r="H414" t="str">
            <v>SG_02_01 Sun Glass Hut_Gold_OWNED</v>
          </cell>
          <cell r="I414" t="str">
            <v>0000004157 The Shops at Canal Place</v>
          </cell>
          <cell r="J414" t="str">
            <v>Gold Kiosk</v>
          </cell>
          <cell r="K414">
            <v>0</v>
          </cell>
        </row>
        <row r="415">
          <cell r="C415">
            <v>4158</v>
          </cell>
          <cell r="D415" t="str">
            <v>Core</v>
          </cell>
          <cell r="E415" t="str">
            <v>Gold</v>
          </cell>
          <cell r="F415" t="str">
            <v>Gold Inline</v>
          </cell>
          <cell r="G415" t="str">
            <v>Core</v>
          </cell>
          <cell r="H415" t="str">
            <v>SG_02_01 Sun Glass Hut_Gold_OWNED</v>
          </cell>
          <cell r="I415" t="str">
            <v>0000004158 Willowbrook Mall</v>
          </cell>
          <cell r="J415" t="str">
            <v>Gold Inline</v>
          </cell>
          <cell r="K415">
            <v>0</v>
          </cell>
        </row>
        <row r="416">
          <cell r="C416">
            <v>4161</v>
          </cell>
          <cell r="D416" t="str">
            <v>Core</v>
          </cell>
          <cell r="E416" t="str">
            <v>Gold</v>
          </cell>
          <cell r="F416" t="str">
            <v>Gold Inline</v>
          </cell>
          <cell r="G416" t="str">
            <v>Core</v>
          </cell>
          <cell r="H416" t="str">
            <v>SG_02_01 Sun Glass Hut_Gold_OWNED</v>
          </cell>
          <cell r="I416" t="str">
            <v>0000004161 Hillsdale Shopping Center</v>
          </cell>
          <cell r="J416" t="str">
            <v>Gold Inline</v>
          </cell>
          <cell r="K416">
            <v>0</v>
          </cell>
        </row>
        <row r="417">
          <cell r="C417">
            <v>4165</v>
          </cell>
          <cell r="D417" t="str">
            <v>Core</v>
          </cell>
          <cell r="E417" t="str">
            <v>Gold</v>
          </cell>
          <cell r="F417" t="str">
            <v>Gold Kiosk</v>
          </cell>
          <cell r="G417" t="str">
            <v>Core</v>
          </cell>
          <cell r="H417" t="str">
            <v>SG_02_01 Sun Glass Hut_Gold_OWNED</v>
          </cell>
          <cell r="I417" t="str">
            <v>0000004165 Imperial Valley Mall</v>
          </cell>
          <cell r="J417" t="str">
            <v>Gold Kiosk</v>
          </cell>
          <cell r="K417">
            <v>0</v>
          </cell>
        </row>
        <row r="418">
          <cell r="C418">
            <v>4167</v>
          </cell>
          <cell r="D418" t="str">
            <v>Core</v>
          </cell>
          <cell r="E418" t="str">
            <v>Gold</v>
          </cell>
          <cell r="F418" t="str">
            <v>Gold Kiosk</v>
          </cell>
          <cell r="G418" t="str">
            <v>Core</v>
          </cell>
          <cell r="H418" t="str">
            <v>SG_02_01 Sun Glass Hut_Gold_OWNED</v>
          </cell>
          <cell r="I418" t="str">
            <v>0000004167 Roosevelt Field</v>
          </cell>
          <cell r="J418" t="str">
            <v>Gold Kiosk</v>
          </cell>
          <cell r="K418">
            <v>0</v>
          </cell>
        </row>
        <row r="419">
          <cell r="C419">
            <v>4170</v>
          </cell>
          <cell r="D419" t="str">
            <v>Core</v>
          </cell>
          <cell r="E419" t="str">
            <v>Gold</v>
          </cell>
          <cell r="F419" t="str">
            <v>Gold Inline</v>
          </cell>
          <cell r="G419" t="str">
            <v>Core</v>
          </cell>
          <cell r="H419" t="str">
            <v>SG_02_01 Sun Glass Hut_Gold_OWNED</v>
          </cell>
          <cell r="I419" t="str">
            <v>0000004170 Lakewood Center</v>
          </cell>
          <cell r="J419" t="str">
            <v>Gold Inline</v>
          </cell>
          <cell r="K419">
            <v>0</v>
          </cell>
        </row>
        <row r="420">
          <cell r="C420">
            <v>4174</v>
          </cell>
          <cell r="D420" t="str">
            <v>Core</v>
          </cell>
          <cell r="E420" t="str">
            <v>Gold</v>
          </cell>
          <cell r="F420" t="str">
            <v>Gold Inline</v>
          </cell>
          <cell r="G420" t="str">
            <v>Core</v>
          </cell>
          <cell r="H420" t="str">
            <v>SG_02_01 Sun Glass Hut_Gold_OWNED</v>
          </cell>
          <cell r="I420" t="str">
            <v>0000004174 North County</v>
          </cell>
          <cell r="J420" t="str">
            <v>Gold Inline</v>
          </cell>
          <cell r="K420">
            <v>0</v>
          </cell>
        </row>
        <row r="421">
          <cell r="C421">
            <v>4175</v>
          </cell>
          <cell r="D421" t="str">
            <v>Core</v>
          </cell>
          <cell r="E421" t="str">
            <v>Gold</v>
          </cell>
          <cell r="F421" t="str">
            <v>Gold Inline</v>
          </cell>
          <cell r="G421" t="str">
            <v>Core</v>
          </cell>
          <cell r="H421" t="str">
            <v>SG_02_01 Sun Glass Hut_Gold_OWNED</v>
          </cell>
          <cell r="I421" t="str">
            <v>0000004175 Town Center at Cobb</v>
          </cell>
          <cell r="J421" t="str">
            <v>Gold Inline</v>
          </cell>
          <cell r="K421">
            <v>0</v>
          </cell>
        </row>
        <row r="422">
          <cell r="C422">
            <v>4177</v>
          </cell>
          <cell r="D422" t="str">
            <v>Core</v>
          </cell>
          <cell r="E422" t="str">
            <v>Gold</v>
          </cell>
          <cell r="F422" t="str">
            <v>Gold Inline</v>
          </cell>
          <cell r="G422" t="str">
            <v>Core</v>
          </cell>
          <cell r="H422" t="str">
            <v>SG_02_01 Sun Glass Hut_Gold_OWNED</v>
          </cell>
          <cell r="I422" t="str">
            <v>0000004177 Northbrook Court</v>
          </cell>
          <cell r="J422" t="str">
            <v>Gold Inline</v>
          </cell>
          <cell r="K422">
            <v>0</v>
          </cell>
        </row>
        <row r="423">
          <cell r="C423">
            <v>4179</v>
          </cell>
          <cell r="D423" t="str">
            <v>Core</v>
          </cell>
          <cell r="E423" t="str">
            <v>Gold</v>
          </cell>
          <cell r="F423" t="str">
            <v>Gold Inline</v>
          </cell>
          <cell r="G423" t="str">
            <v>Core</v>
          </cell>
          <cell r="H423" t="str">
            <v>SG_02_01 Sun Glass Hut_Gold_OWNED</v>
          </cell>
          <cell r="I423" t="str">
            <v>0000004179 The Plaza at King of Prussia</v>
          </cell>
          <cell r="J423" t="str">
            <v>Gold Inline</v>
          </cell>
          <cell r="K423">
            <v>0</v>
          </cell>
        </row>
        <row r="424">
          <cell r="C424">
            <v>4184</v>
          </cell>
          <cell r="D424" t="str">
            <v>Core</v>
          </cell>
          <cell r="E424" t="str">
            <v>Gold</v>
          </cell>
          <cell r="F424" t="str">
            <v>Gold Kiosk</v>
          </cell>
          <cell r="G424" t="str">
            <v>Core</v>
          </cell>
          <cell r="H424" t="str">
            <v>SG_02_01 Sun Glass Hut_Gold_OWNED</v>
          </cell>
          <cell r="I424" t="str">
            <v>0000004184 Smith Haven Mall</v>
          </cell>
          <cell r="J424" t="str">
            <v>Gold Kiosk</v>
          </cell>
          <cell r="K424">
            <v>0</v>
          </cell>
        </row>
        <row r="425">
          <cell r="C425">
            <v>4194</v>
          </cell>
          <cell r="D425" t="str">
            <v>Core</v>
          </cell>
          <cell r="E425" t="str">
            <v>Gold</v>
          </cell>
          <cell r="F425" t="str">
            <v>Gold Inline</v>
          </cell>
          <cell r="G425" t="str">
            <v>Core</v>
          </cell>
          <cell r="H425" t="str">
            <v>SG_02_01 Sun Glass Hut_Gold_OWNED</v>
          </cell>
          <cell r="I425" t="str">
            <v>0000004194 Serramonte Center</v>
          </cell>
          <cell r="J425" t="str">
            <v>Gold Inline</v>
          </cell>
          <cell r="K425">
            <v>0</v>
          </cell>
        </row>
        <row r="426">
          <cell r="C426">
            <v>4195</v>
          </cell>
          <cell r="D426" t="str">
            <v>Core</v>
          </cell>
          <cell r="E426" t="str">
            <v>Gold</v>
          </cell>
          <cell r="F426" t="str">
            <v>Gold Inline</v>
          </cell>
          <cell r="G426" t="str">
            <v>Core</v>
          </cell>
          <cell r="H426" t="str">
            <v>SG_02_01 Sun Glass Hut_Gold_OWNED</v>
          </cell>
          <cell r="I426" t="str">
            <v>0000004195 Sunvalley Shopping Center</v>
          </cell>
          <cell r="J426" t="str">
            <v>Gold Inline</v>
          </cell>
          <cell r="K426">
            <v>0</v>
          </cell>
        </row>
        <row r="427">
          <cell r="C427">
            <v>4196</v>
          </cell>
          <cell r="D427" t="str">
            <v>Core</v>
          </cell>
          <cell r="E427" t="str">
            <v>Gold</v>
          </cell>
          <cell r="F427" t="str">
            <v>Gold Kiosk</v>
          </cell>
          <cell r="G427" t="str">
            <v>Core</v>
          </cell>
          <cell r="H427" t="str">
            <v>SG_02_01 Sun Glass Hut_Gold_OWNED</v>
          </cell>
          <cell r="I427" t="str">
            <v>0000004196 NewPark Mall</v>
          </cell>
          <cell r="J427" t="str">
            <v>Gold Kiosk</v>
          </cell>
          <cell r="K427">
            <v>0</v>
          </cell>
        </row>
        <row r="428">
          <cell r="C428">
            <v>4197</v>
          </cell>
          <cell r="D428" t="str">
            <v>Core</v>
          </cell>
          <cell r="E428" t="str">
            <v>Gold</v>
          </cell>
          <cell r="F428" t="str">
            <v>Gold Kiosk</v>
          </cell>
          <cell r="G428" t="str">
            <v>Core</v>
          </cell>
          <cell r="H428" t="str">
            <v>SG_02_01 Sun Glass Hut_Gold_OWNED</v>
          </cell>
          <cell r="I428" t="str">
            <v>0000004197 Houston Galleria</v>
          </cell>
          <cell r="J428" t="str">
            <v>Gold Kiosk</v>
          </cell>
          <cell r="K428">
            <v>0</v>
          </cell>
        </row>
        <row r="429">
          <cell r="C429">
            <v>4203</v>
          </cell>
          <cell r="D429" t="str">
            <v>Core</v>
          </cell>
          <cell r="E429" t="str">
            <v>Gold</v>
          </cell>
          <cell r="F429" t="str">
            <v>Gold Inline</v>
          </cell>
          <cell r="G429" t="str">
            <v>Core</v>
          </cell>
          <cell r="H429" t="str">
            <v>SG_02_01 Sun Glass Hut_Gold_OWNED</v>
          </cell>
          <cell r="I429" t="str">
            <v>0000004203 Park City Center</v>
          </cell>
          <cell r="J429" t="str">
            <v>Gold Inline</v>
          </cell>
          <cell r="K429">
            <v>0</v>
          </cell>
        </row>
        <row r="430">
          <cell r="C430">
            <v>4205</v>
          </cell>
          <cell r="D430" t="str">
            <v>Core</v>
          </cell>
          <cell r="E430" t="str">
            <v>Gold</v>
          </cell>
          <cell r="F430" t="str">
            <v>Gold Kiosk</v>
          </cell>
          <cell r="G430" t="str">
            <v>Core</v>
          </cell>
          <cell r="H430" t="str">
            <v>SG_02_01 Sun Glass Hut_Gold_OWNED</v>
          </cell>
          <cell r="I430" t="str">
            <v>0000004205 Monroeville Mall</v>
          </cell>
          <cell r="J430" t="str">
            <v>Gold Kiosk</v>
          </cell>
          <cell r="K430">
            <v>0</v>
          </cell>
        </row>
        <row r="431">
          <cell r="C431">
            <v>4206</v>
          </cell>
          <cell r="D431" t="str">
            <v>Core</v>
          </cell>
          <cell r="E431" t="str">
            <v>Gold</v>
          </cell>
          <cell r="F431" t="str">
            <v>Gold Inline</v>
          </cell>
          <cell r="G431" t="str">
            <v>Core</v>
          </cell>
          <cell r="H431" t="str">
            <v>SG_02_01 Sun Glass Hut_Gold_OWNED</v>
          </cell>
          <cell r="I431" t="str">
            <v>0000004206 Halifax Shopping Centre</v>
          </cell>
          <cell r="J431" t="str">
            <v>Gold Inline</v>
          </cell>
          <cell r="K431">
            <v>0</v>
          </cell>
        </row>
        <row r="432">
          <cell r="C432">
            <v>4209</v>
          </cell>
          <cell r="D432" t="str">
            <v>Core</v>
          </cell>
          <cell r="E432" t="str">
            <v>Gold</v>
          </cell>
          <cell r="F432" t="str">
            <v>Gold Inline</v>
          </cell>
          <cell r="G432" t="str">
            <v>Core</v>
          </cell>
          <cell r="H432" t="str">
            <v>SG_02_01 Sun Glass Hut_Gold_OWNED</v>
          </cell>
          <cell r="I432" t="str">
            <v>0000004209 Vintage Faire Mall</v>
          </cell>
          <cell r="J432" t="str">
            <v>Gold Inline</v>
          </cell>
          <cell r="K432">
            <v>0</v>
          </cell>
        </row>
        <row r="433">
          <cell r="C433">
            <v>4217</v>
          </cell>
          <cell r="D433" t="str">
            <v>Core</v>
          </cell>
          <cell r="E433" t="str">
            <v>Gold</v>
          </cell>
          <cell r="F433" t="str">
            <v>Gold Inline</v>
          </cell>
          <cell r="G433" t="str">
            <v>Core</v>
          </cell>
          <cell r="H433" t="str">
            <v>SG_02_01 Sun Glass Hut_Gold_OWNED</v>
          </cell>
          <cell r="I433" t="str">
            <v>0000004217 WestShore Plaza</v>
          </cell>
          <cell r="J433" t="str">
            <v>Gold Inline</v>
          </cell>
          <cell r="K433">
            <v>0</v>
          </cell>
        </row>
        <row r="434">
          <cell r="C434">
            <v>4218</v>
          </cell>
          <cell r="D434" t="str">
            <v>Core</v>
          </cell>
          <cell r="E434" t="str">
            <v>Gold</v>
          </cell>
          <cell r="F434" t="str">
            <v>Gold Kiosk</v>
          </cell>
          <cell r="G434" t="str">
            <v>Core</v>
          </cell>
          <cell r="H434" t="str">
            <v>SG_02_01 Sun Glass Hut_Gold_OWNED</v>
          </cell>
          <cell r="I434" t="str">
            <v>0000004218 Houston Galleria</v>
          </cell>
          <cell r="J434" t="str">
            <v>Gold Kiosk</v>
          </cell>
          <cell r="K434">
            <v>0</v>
          </cell>
        </row>
        <row r="435">
          <cell r="C435">
            <v>4223</v>
          </cell>
          <cell r="D435" t="str">
            <v>Core</v>
          </cell>
          <cell r="E435" t="str">
            <v>Gold</v>
          </cell>
          <cell r="F435" t="str">
            <v>Gold Kiosk</v>
          </cell>
          <cell r="G435" t="str">
            <v>Core</v>
          </cell>
          <cell r="H435" t="str">
            <v>SG_02_01 Sun Glass Hut_Gold_OWNED</v>
          </cell>
          <cell r="I435" t="str">
            <v>0000004223 Galleria Dallas</v>
          </cell>
          <cell r="J435" t="str">
            <v>Gold Kiosk</v>
          </cell>
          <cell r="K435">
            <v>0</v>
          </cell>
        </row>
        <row r="436">
          <cell r="C436">
            <v>4228</v>
          </cell>
          <cell r="D436" t="str">
            <v>Core</v>
          </cell>
          <cell r="E436" t="str">
            <v>Gold</v>
          </cell>
          <cell r="F436" t="str">
            <v>Gold Inline</v>
          </cell>
          <cell r="G436" t="str">
            <v>Core</v>
          </cell>
          <cell r="H436" t="str">
            <v>SG_02_01 Sun Glass Hut_Gold_OWNED</v>
          </cell>
          <cell r="I436" t="str">
            <v>0000004228 Poughkeepsie Galleria</v>
          </cell>
          <cell r="J436" t="str">
            <v>Gold Inline</v>
          </cell>
          <cell r="K436">
            <v>0</v>
          </cell>
        </row>
        <row r="437">
          <cell r="C437">
            <v>4230</v>
          </cell>
          <cell r="D437" t="str">
            <v>Core</v>
          </cell>
          <cell r="E437" t="str">
            <v>Gold</v>
          </cell>
          <cell r="F437" t="str">
            <v>Gold Kiosk</v>
          </cell>
          <cell r="G437" t="str">
            <v>Core</v>
          </cell>
          <cell r="H437" t="str">
            <v>SG_02_01 Sun Glass Hut_Gold_OWNED</v>
          </cell>
          <cell r="I437" t="str">
            <v>0000004230 Hamilton Mall</v>
          </cell>
          <cell r="J437" t="str">
            <v>Gold Kiosk</v>
          </cell>
          <cell r="K437">
            <v>0</v>
          </cell>
        </row>
        <row r="438">
          <cell r="C438">
            <v>4238</v>
          </cell>
          <cell r="D438" t="str">
            <v>Core</v>
          </cell>
          <cell r="E438" t="str">
            <v>Gold</v>
          </cell>
          <cell r="F438" t="str">
            <v>Gold Inline</v>
          </cell>
          <cell r="G438" t="str">
            <v>Core</v>
          </cell>
          <cell r="H438" t="str">
            <v>SG_02_01 Sun Glass Hut_Gold_OWNED</v>
          </cell>
          <cell r="I438" t="str">
            <v>0000004238 Castro St</v>
          </cell>
          <cell r="J438" t="str">
            <v>Gold Inline</v>
          </cell>
          <cell r="K438">
            <v>0</v>
          </cell>
        </row>
        <row r="439">
          <cell r="C439">
            <v>4246</v>
          </cell>
          <cell r="D439" t="str">
            <v>Core</v>
          </cell>
          <cell r="E439" t="str">
            <v>Gold</v>
          </cell>
          <cell r="F439" t="str">
            <v>Gold Inline</v>
          </cell>
          <cell r="G439" t="str">
            <v>Core</v>
          </cell>
          <cell r="H439" t="str">
            <v>SG_02_01 Sun Glass Hut_Gold_OWNED</v>
          </cell>
          <cell r="I439" t="str">
            <v>0000004246 Del Monte Center</v>
          </cell>
          <cell r="J439" t="str">
            <v>Gold Inline</v>
          </cell>
          <cell r="K439">
            <v>0</v>
          </cell>
        </row>
        <row r="440">
          <cell r="C440">
            <v>4249</v>
          </cell>
          <cell r="D440" t="str">
            <v>Core</v>
          </cell>
          <cell r="E440" t="str">
            <v>Gold</v>
          </cell>
          <cell r="F440" t="str">
            <v>Gold Inline</v>
          </cell>
          <cell r="G440" t="str">
            <v>Core</v>
          </cell>
          <cell r="H440" t="str">
            <v>SG_02_01 Sun Glass Hut_Gold_OWNED</v>
          </cell>
          <cell r="I440" t="str">
            <v>0000004249 South Hills Village</v>
          </cell>
          <cell r="J440" t="str">
            <v>Gold Inline</v>
          </cell>
          <cell r="K440">
            <v>0</v>
          </cell>
        </row>
        <row r="441">
          <cell r="C441">
            <v>4255</v>
          </cell>
          <cell r="D441" t="str">
            <v>Core</v>
          </cell>
          <cell r="E441" t="str">
            <v>Gold</v>
          </cell>
          <cell r="F441" t="str">
            <v>Gold Inline</v>
          </cell>
          <cell r="G441" t="str">
            <v>Core</v>
          </cell>
          <cell r="H441" t="str">
            <v>SG_02_01 Sun Glass Hut_Gold_OWNED</v>
          </cell>
          <cell r="I441" t="str">
            <v>0000004255 Harborplace and The Gallery</v>
          </cell>
          <cell r="J441" t="str">
            <v>Gold Inline</v>
          </cell>
          <cell r="K441">
            <v>0</v>
          </cell>
        </row>
        <row r="442">
          <cell r="C442">
            <v>4267</v>
          </cell>
          <cell r="D442" t="str">
            <v>Core</v>
          </cell>
          <cell r="E442" t="str">
            <v>Gold</v>
          </cell>
          <cell r="F442" t="str">
            <v>Gold Inline</v>
          </cell>
          <cell r="G442" t="str">
            <v>Core</v>
          </cell>
          <cell r="H442" t="str">
            <v>SG_02_01 Sun Glass Hut_Gold_OWNED</v>
          </cell>
          <cell r="I442" t="str">
            <v>0000004267 Penn Square Mall</v>
          </cell>
          <cell r="J442" t="str">
            <v>Gold Inline</v>
          </cell>
          <cell r="K442">
            <v>0</v>
          </cell>
        </row>
        <row r="443">
          <cell r="C443">
            <v>4288</v>
          </cell>
          <cell r="D443" t="str">
            <v>Core</v>
          </cell>
          <cell r="E443" t="str">
            <v>Gold</v>
          </cell>
          <cell r="F443" t="str">
            <v>Gold Inline</v>
          </cell>
          <cell r="G443" t="str">
            <v>Core</v>
          </cell>
          <cell r="H443" t="str">
            <v>SG_02_01 Sun Glass Hut_Gold_OWNED</v>
          </cell>
          <cell r="I443" t="str">
            <v>0000004288 Kingsway Garden Mall</v>
          </cell>
          <cell r="J443" t="str">
            <v>Gold Inline</v>
          </cell>
          <cell r="K443">
            <v>0</v>
          </cell>
        </row>
        <row r="444">
          <cell r="C444">
            <v>4293</v>
          </cell>
          <cell r="D444" t="str">
            <v>Core</v>
          </cell>
          <cell r="E444" t="str">
            <v>Gold</v>
          </cell>
          <cell r="F444" t="str">
            <v>Gold Inline</v>
          </cell>
          <cell r="G444" t="str">
            <v>Core</v>
          </cell>
          <cell r="H444" t="str">
            <v>SG_02_01 Sun Glass Hut_Gold_OWNED</v>
          </cell>
          <cell r="I444" t="str">
            <v>0000004293 Miami Int'l Mall</v>
          </cell>
          <cell r="J444" t="str">
            <v>Gold Inline</v>
          </cell>
          <cell r="K444">
            <v>0</v>
          </cell>
        </row>
        <row r="445">
          <cell r="C445">
            <v>4294</v>
          </cell>
          <cell r="D445" t="str">
            <v>Core</v>
          </cell>
          <cell r="E445" t="str">
            <v>Gold</v>
          </cell>
          <cell r="F445" t="str">
            <v>Gold Inline</v>
          </cell>
          <cell r="G445" t="str">
            <v>Core</v>
          </cell>
          <cell r="H445" t="str">
            <v>SG_02_01 Sun Glass Hut_Gold_OWNED</v>
          </cell>
          <cell r="I445" t="str">
            <v>0000004294 Coastland Center</v>
          </cell>
          <cell r="J445" t="str">
            <v>Gold Inline</v>
          </cell>
          <cell r="K445">
            <v>0</v>
          </cell>
        </row>
        <row r="446">
          <cell r="C446">
            <v>4302</v>
          </cell>
          <cell r="D446" t="str">
            <v>Core</v>
          </cell>
          <cell r="E446" t="str">
            <v>Gold</v>
          </cell>
          <cell r="F446" t="str">
            <v>Gold Kiosk</v>
          </cell>
          <cell r="G446" t="str">
            <v>Core</v>
          </cell>
          <cell r="H446" t="str">
            <v>SG_02_01 Sun Glass Hut_Gold_OWNED</v>
          </cell>
          <cell r="I446" t="str">
            <v>0000004302 Manhattan Village</v>
          </cell>
          <cell r="J446" t="str">
            <v>Gold Kiosk</v>
          </cell>
          <cell r="K446">
            <v>0</v>
          </cell>
        </row>
        <row r="447">
          <cell r="C447">
            <v>4303</v>
          </cell>
          <cell r="D447" t="str">
            <v>Core</v>
          </cell>
          <cell r="E447" t="str">
            <v>Gold</v>
          </cell>
          <cell r="F447" t="str">
            <v>Gold Kiosk</v>
          </cell>
          <cell r="G447" t="str">
            <v>Core</v>
          </cell>
          <cell r="H447" t="str">
            <v>SG_02_01 Sun Glass Hut_Gold_OWNED</v>
          </cell>
          <cell r="I447" t="str">
            <v>0000004303 Dadeland Mall</v>
          </cell>
          <cell r="J447" t="str">
            <v>Gold Kiosk</v>
          </cell>
          <cell r="K447">
            <v>0</v>
          </cell>
        </row>
        <row r="448">
          <cell r="C448">
            <v>4322</v>
          </cell>
          <cell r="D448" t="str">
            <v>Core</v>
          </cell>
          <cell r="E448" t="str">
            <v>Gold</v>
          </cell>
          <cell r="F448" t="str">
            <v>Gold Inline</v>
          </cell>
          <cell r="G448" t="str">
            <v>Core</v>
          </cell>
          <cell r="H448" t="str">
            <v>SG_02_01 Sun Glass Hut_Gold_OWNED</v>
          </cell>
          <cell r="I448" t="str">
            <v>0000004322 La Encantada</v>
          </cell>
          <cell r="J448" t="str">
            <v>Gold Inline</v>
          </cell>
          <cell r="K448">
            <v>0</v>
          </cell>
        </row>
        <row r="449">
          <cell r="C449">
            <v>4324</v>
          </cell>
          <cell r="D449" t="str">
            <v>Core</v>
          </cell>
          <cell r="E449" t="str">
            <v>Gold</v>
          </cell>
          <cell r="F449" t="str">
            <v>Gold Kiosk</v>
          </cell>
          <cell r="G449" t="str">
            <v>Core</v>
          </cell>
          <cell r="H449" t="str">
            <v>SG_02_01 Sun Glass Hut_Gold_OWNED</v>
          </cell>
          <cell r="I449" t="str">
            <v>0000004324 Fairview Pointe Claire</v>
          </cell>
          <cell r="J449" t="str">
            <v>Gold Kiosk</v>
          </cell>
          <cell r="K449">
            <v>0</v>
          </cell>
        </row>
        <row r="450">
          <cell r="C450">
            <v>4329</v>
          </cell>
          <cell r="D450" t="str">
            <v>Core</v>
          </cell>
          <cell r="E450" t="str">
            <v>Gold</v>
          </cell>
          <cell r="F450" t="str">
            <v>Gold Inline</v>
          </cell>
          <cell r="G450" t="str">
            <v>Core</v>
          </cell>
          <cell r="H450" t="str">
            <v>SG_02_01 Sun Glass Hut_Gold_OWNED</v>
          </cell>
          <cell r="I450" t="str">
            <v>0000004329 Ridgedale Center</v>
          </cell>
          <cell r="J450" t="str">
            <v>Gold Inline</v>
          </cell>
          <cell r="K450">
            <v>0</v>
          </cell>
        </row>
        <row r="451">
          <cell r="C451">
            <v>4364</v>
          </cell>
          <cell r="D451" t="str">
            <v>Core</v>
          </cell>
          <cell r="E451" t="str">
            <v>Gold</v>
          </cell>
          <cell r="F451" t="str">
            <v>Gold Kiosk</v>
          </cell>
          <cell r="G451" t="str">
            <v>Core</v>
          </cell>
          <cell r="H451" t="str">
            <v>SG_02_01 Sun Glass Hut_Gold_OWNED</v>
          </cell>
          <cell r="I451" t="str">
            <v>0000004364 Memorial City Mall</v>
          </cell>
          <cell r="J451" t="str">
            <v>Gold Kiosk</v>
          </cell>
          <cell r="K451">
            <v>0</v>
          </cell>
        </row>
        <row r="452">
          <cell r="C452">
            <v>4367</v>
          </cell>
          <cell r="D452" t="str">
            <v>Core</v>
          </cell>
          <cell r="E452" t="str">
            <v>Gold</v>
          </cell>
          <cell r="F452" t="str">
            <v>Gold Inline</v>
          </cell>
          <cell r="G452" t="str">
            <v>Core</v>
          </cell>
          <cell r="H452" t="str">
            <v>SG_02_01 Sun Glass Hut_Gold_OWNED</v>
          </cell>
          <cell r="I452" t="str">
            <v>0000004367 Boise Towne Square</v>
          </cell>
          <cell r="J452" t="str">
            <v>Gold Inline</v>
          </cell>
          <cell r="K452">
            <v>0</v>
          </cell>
        </row>
        <row r="453">
          <cell r="C453">
            <v>4369</v>
          </cell>
          <cell r="D453" t="str">
            <v>Core</v>
          </cell>
          <cell r="E453" t="str">
            <v>Gold</v>
          </cell>
          <cell r="F453" t="str">
            <v>Gold Kiosk</v>
          </cell>
          <cell r="G453" t="str">
            <v>Core</v>
          </cell>
          <cell r="H453" t="str">
            <v>SG_02_01 Sun Glass Hut_Gold_OWNED</v>
          </cell>
          <cell r="I453" t="str">
            <v>0000004369 Garden State Plaza Mall</v>
          </cell>
          <cell r="J453" t="str">
            <v>Gold Kiosk</v>
          </cell>
          <cell r="K453">
            <v>0</v>
          </cell>
        </row>
        <row r="454">
          <cell r="C454">
            <v>4373</v>
          </cell>
          <cell r="D454" t="str">
            <v>Core</v>
          </cell>
          <cell r="E454" t="str">
            <v>Gold</v>
          </cell>
          <cell r="F454" t="str">
            <v>Gold Inline</v>
          </cell>
          <cell r="G454" t="str">
            <v>Core</v>
          </cell>
          <cell r="H454" t="str">
            <v>SG_02_01 Sun Glass Hut_Gold_OWNED</v>
          </cell>
          <cell r="I454" t="str">
            <v>0000004373 Fairview Park Mall</v>
          </cell>
          <cell r="J454" t="str">
            <v>Gold Inline</v>
          </cell>
          <cell r="K454">
            <v>0</v>
          </cell>
        </row>
        <row r="455">
          <cell r="C455">
            <v>4375</v>
          </cell>
          <cell r="D455" t="str">
            <v>Core</v>
          </cell>
          <cell r="E455" t="str">
            <v>Gold</v>
          </cell>
          <cell r="F455" t="str">
            <v>Gold Kiosk</v>
          </cell>
          <cell r="G455" t="str">
            <v>Core</v>
          </cell>
          <cell r="H455" t="str">
            <v>SG_02_01 Sun Glass Hut_Gold_OWNED</v>
          </cell>
          <cell r="I455" t="str">
            <v>0000004375 Polo Park</v>
          </cell>
          <cell r="J455" t="str">
            <v>Gold Kiosk</v>
          </cell>
          <cell r="K455">
            <v>0</v>
          </cell>
        </row>
        <row r="456">
          <cell r="C456">
            <v>4377</v>
          </cell>
          <cell r="D456" t="str">
            <v>Core</v>
          </cell>
          <cell r="E456" t="str">
            <v>Gold</v>
          </cell>
          <cell r="F456" t="str">
            <v>Gold Inline</v>
          </cell>
          <cell r="G456" t="str">
            <v>Core</v>
          </cell>
          <cell r="H456" t="str">
            <v>SG_02_01 Sun Glass Hut_Gold_OWNED</v>
          </cell>
          <cell r="I456" t="str">
            <v>0000004377 Promenade</v>
          </cell>
          <cell r="J456" t="str">
            <v>Gold Inline</v>
          </cell>
          <cell r="K456">
            <v>0</v>
          </cell>
        </row>
        <row r="457">
          <cell r="C457">
            <v>4381</v>
          </cell>
          <cell r="D457" t="str">
            <v>Core</v>
          </cell>
          <cell r="E457" t="str">
            <v>Gold</v>
          </cell>
          <cell r="F457" t="str">
            <v>Gold Inline</v>
          </cell>
          <cell r="G457" t="str">
            <v>Core</v>
          </cell>
          <cell r="H457" t="str">
            <v>SG_02_01 Sun Glass Hut_Gold_OWNED</v>
          </cell>
          <cell r="I457" t="str">
            <v>0000004381 Erin Mills Town Centre</v>
          </cell>
          <cell r="J457" t="str">
            <v>Gold Inline</v>
          </cell>
          <cell r="K457">
            <v>0</v>
          </cell>
        </row>
        <row r="458">
          <cell r="C458">
            <v>4382</v>
          </cell>
          <cell r="D458" t="str">
            <v>Core</v>
          </cell>
          <cell r="E458" t="str">
            <v>Gold</v>
          </cell>
          <cell r="F458" t="str">
            <v>Gold Inline</v>
          </cell>
          <cell r="G458" t="str">
            <v>Core</v>
          </cell>
          <cell r="H458" t="str">
            <v>SG_02_01 Sun Glass Hut_Gold_OWNED</v>
          </cell>
          <cell r="I458" t="str">
            <v>0000004382 Solano Mall</v>
          </cell>
          <cell r="J458" t="str">
            <v>Gold Inline</v>
          </cell>
          <cell r="K458">
            <v>0</v>
          </cell>
        </row>
        <row r="459">
          <cell r="C459">
            <v>4389</v>
          </cell>
          <cell r="D459" t="str">
            <v>Core</v>
          </cell>
          <cell r="E459" t="str">
            <v>Gold</v>
          </cell>
          <cell r="F459" t="str">
            <v>Gold Inline</v>
          </cell>
          <cell r="G459" t="str">
            <v>Core</v>
          </cell>
          <cell r="H459" t="str">
            <v>SG_02_01 Sun Glass Hut_Gold_OWNED</v>
          </cell>
          <cell r="I459" t="str">
            <v>0000004389 Sunridge Mall</v>
          </cell>
          <cell r="J459" t="str">
            <v>Gold Inline</v>
          </cell>
          <cell r="K459">
            <v>0</v>
          </cell>
        </row>
        <row r="460">
          <cell r="C460">
            <v>4394</v>
          </cell>
          <cell r="D460" t="str">
            <v>Core</v>
          </cell>
          <cell r="E460" t="str">
            <v>Gold</v>
          </cell>
          <cell r="F460" t="str">
            <v>Gold Inline</v>
          </cell>
          <cell r="G460" t="str">
            <v>Core</v>
          </cell>
          <cell r="H460" t="str">
            <v>SG_02_01 Sun Glass Hut_Gold_OWNED</v>
          </cell>
          <cell r="I460" t="str">
            <v>0000004394 Hawthorn Mall</v>
          </cell>
          <cell r="J460" t="str">
            <v>Gold Inline</v>
          </cell>
          <cell r="K460">
            <v>0</v>
          </cell>
        </row>
        <row r="461">
          <cell r="C461">
            <v>4401</v>
          </cell>
          <cell r="D461" t="str">
            <v>Core</v>
          </cell>
          <cell r="E461" t="str">
            <v>Gold</v>
          </cell>
          <cell r="F461" t="str">
            <v>Gold Inline</v>
          </cell>
          <cell r="G461" t="str">
            <v>Core</v>
          </cell>
          <cell r="H461" t="str">
            <v>SG_02_01 Sun Glass Hut_Gold_OWNED</v>
          </cell>
          <cell r="I461" t="str">
            <v>0000004401 Le Carrefour Laval</v>
          </cell>
          <cell r="J461" t="str">
            <v>Gold Inline</v>
          </cell>
          <cell r="K461">
            <v>0</v>
          </cell>
        </row>
        <row r="462">
          <cell r="C462">
            <v>4407</v>
          </cell>
          <cell r="D462" t="str">
            <v>Core</v>
          </cell>
          <cell r="E462" t="str">
            <v>Gold</v>
          </cell>
          <cell r="F462" t="str">
            <v>Gold Inline</v>
          </cell>
          <cell r="G462" t="str">
            <v>Core</v>
          </cell>
          <cell r="H462" t="str">
            <v>SG_02_01 Sun Glass Hut_Gold_OWNED</v>
          </cell>
          <cell r="I462" t="str">
            <v>0000004407 Sherwood Mall</v>
          </cell>
          <cell r="J462" t="str">
            <v>Gold Inline</v>
          </cell>
          <cell r="K462">
            <v>0</v>
          </cell>
        </row>
        <row r="463">
          <cell r="C463">
            <v>4411</v>
          </cell>
          <cell r="D463" t="str">
            <v>Core</v>
          </cell>
          <cell r="E463" t="str">
            <v>Gold</v>
          </cell>
          <cell r="F463" t="str">
            <v>Gold Kiosk</v>
          </cell>
          <cell r="G463" t="str">
            <v>Core</v>
          </cell>
          <cell r="H463" t="str">
            <v>SG_02_01 Sun Glass Hut_Gold_OWNED</v>
          </cell>
          <cell r="I463" t="str">
            <v>0000004411 Montehiedra Town Center</v>
          </cell>
          <cell r="J463" t="str">
            <v>Gold Kiosk</v>
          </cell>
          <cell r="K463">
            <v>0</v>
          </cell>
        </row>
        <row r="464">
          <cell r="C464">
            <v>4418</v>
          </cell>
          <cell r="D464" t="str">
            <v>Core</v>
          </cell>
          <cell r="E464" t="str">
            <v>Gold</v>
          </cell>
          <cell r="F464" t="str">
            <v>Gold Inline</v>
          </cell>
          <cell r="G464" t="str">
            <v>Core</v>
          </cell>
          <cell r="H464" t="str">
            <v>SG_02_01 Sun Glass Hut_Gold_OWNED</v>
          </cell>
          <cell r="I464" t="str">
            <v>0000004418 Northlake Mall</v>
          </cell>
          <cell r="J464" t="str">
            <v>Gold Inline</v>
          </cell>
          <cell r="K464">
            <v>0</v>
          </cell>
        </row>
        <row r="465">
          <cell r="C465">
            <v>4420</v>
          </cell>
          <cell r="D465" t="str">
            <v>Core</v>
          </cell>
          <cell r="E465" t="str">
            <v>Gold</v>
          </cell>
          <cell r="F465" t="str">
            <v>Gold Inline</v>
          </cell>
          <cell r="G465" t="str">
            <v>Core</v>
          </cell>
          <cell r="H465" t="str">
            <v>SG_02_01 Sun Glass Hut_Gold_OWNED</v>
          </cell>
          <cell r="I465" t="str">
            <v>0000004420 The Mall at Rockingham Park</v>
          </cell>
          <cell r="J465" t="str">
            <v>Gold Inline</v>
          </cell>
          <cell r="K465">
            <v>0</v>
          </cell>
        </row>
        <row r="466">
          <cell r="C466">
            <v>4422</v>
          </cell>
          <cell r="D466" t="str">
            <v>Core</v>
          </cell>
          <cell r="E466" t="str">
            <v>Gold</v>
          </cell>
          <cell r="F466" t="str">
            <v>Gold Inline</v>
          </cell>
          <cell r="G466" t="str">
            <v>Core</v>
          </cell>
          <cell r="H466" t="str">
            <v>SG_02_01 Sun Glass Hut_Gold_OWNED</v>
          </cell>
          <cell r="I466" t="str">
            <v>0000004422 Southcenter Mall</v>
          </cell>
          <cell r="J466" t="str">
            <v>Gold Inline</v>
          </cell>
          <cell r="K466">
            <v>0</v>
          </cell>
        </row>
        <row r="467">
          <cell r="C467">
            <v>4425</v>
          </cell>
          <cell r="D467" t="str">
            <v>Core</v>
          </cell>
          <cell r="E467" t="str">
            <v>Gold</v>
          </cell>
          <cell r="F467" t="str">
            <v>Gold Inline</v>
          </cell>
          <cell r="G467" t="str">
            <v>Core</v>
          </cell>
          <cell r="H467" t="str">
            <v>SG_02_01 Sun Glass Hut_Gold_OWNED</v>
          </cell>
          <cell r="I467" t="str">
            <v>0000004425 Mall of Acadiana</v>
          </cell>
          <cell r="J467" t="str">
            <v>Gold Inline</v>
          </cell>
          <cell r="K467">
            <v>0</v>
          </cell>
        </row>
        <row r="468">
          <cell r="C468">
            <v>4434</v>
          </cell>
          <cell r="D468" t="str">
            <v>Core</v>
          </cell>
          <cell r="E468" t="str">
            <v>Gold</v>
          </cell>
          <cell r="F468" t="str">
            <v>Gold Kiosk</v>
          </cell>
          <cell r="G468" t="str">
            <v>Core</v>
          </cell>
          <cell r="H468" t="str">
            <v>SG_02_01 Sun Glass Hut_Gold_OWNED</v>
          </cell>
          <cell r="I468" t="str">
            <v>0000004434 Southdale Center</v>
          </cell>
          <cell r="J468" t="str">
            <v>Gold Kiosk</v>
          </cell>
          <cell r="K468">
            <v>0</v>
          </cell>
        </row>
        <row r="469">
          <cell r="C469">
            <v>4437</v>
          </cell>
          <cell r="D469" t="str">
            <v>Core</v>
          </cell>
          <cell r="E469" t="str">
            <v>Gold</v>
          </cell>
          <cell r="F469" t="str">
            <v>Gold Inline</v>
          </cell>
          <cell r="G469" t="str">
            <v>Core</v>
          </cell>
          <cell r="H469" t="str">
            <v>SG_02_01 Sun Glass Hut_Gold_OWNED</v>
          </cell>
          <cell r="I469" t="str">
            <v>0000004437 MainPlace Mall</v>
          </cell>
          <cell r="J469" t="str">
            <v>Gold Inline</v>
          </cell>
          <cell r="K469">
            <v>0</v>
          </cell>
        </row>
        <row r="470">
          <cell r="C470">
            <v>4439</v>
          </cell>
          <cell r="D470" t="str">
            <v>Core</v>
          </cell>
          <cell r="E470" t="str">
            <v>Gold</v>
          </cell>
          <cell r="F470" t="str">
            <v>Gold Inline</v>
          </cell>
          <cell r="G470" t="str">
            <v>Core</v>
          </cell>
          <cell r="H470" t="str">
            <v>SG_02_01 Sun Glass Hut_Gold_OWNED</v>
          </cell>
          <cell r="I470" t="str">
            <v>0000004439 Asheville Mall</v>
          </cell>
          <cell r="J470" t="str">
            <v>Gold Inline</v>
          </cell>
          <cell r="K470">
            <v>0</v>
          </cell>
        </row>
        <row r="471">
          <cell r="C471">
            <v>4442</v>
          </cell>
          <cell r="D471" t="str">
            <v>Core</v>
          </cell>
          <cell r="E471" t="str">
            <v>Gold</v>
          </cell>
          <cell r="F471" t="str">
            <v>Gold Kiosk</v>
          </cell>
          <cell r="G471" t="str">
            <v>Core</v>
          </cell>
          <cell r="H471" t="str">
            <v>SG_02_01 Sun Glass Hut_Gold_OWNED</v>
          </cell>
          <cell r="I471" t="str">
            <v>0000004442 Pembroke Lakes Mall</v>
          </cell>
          <cell r="J471" t="str">
            <v>Gold Kiosk</v>
          </cell>
          <cell r="K471">
            <v>0</v>
          </cell>
        </row>
        <row r="472">
          <cell r="C472">
            <v>4447</v>
          </cell>
          <cell r="D472" t="str">
            <v>Core</v>
          </cell>
          <cell r="E472" t="str">
            <v>Gold</v>
          </cell>
          <cell r="F472" t="str">
            <v>Gold Inline</v>
          </cell>
          <cell r="G472" t="str">
            <v>Core</v>
          </cell>
          <cell r="H472" t="str">
            <v>SG_02_01 Sun Glass Hut_Gold_OWNED</v>
          </cell>
          <cell r="I472" t="str">
            <v>0000004447 Promenades St Bruno</v>
          </cell>
          <cell r="J472" t="str">
            <v>Gold Inline</v>
          </cell>
          <cell r="K472">
            <v>0</v>
          </cell>
        </row>
        <row r="473">
          <cell r="C473">
            <v>4452</v>
          </cell>
          <cell r="D473" t="str">
            <v>Core</v>
          </cell>
          <cell r="E473" t="str">
            <v>Gold</v>
          </cell>
          <cell r="F473" t="str">
            <v>Gold Inline</v>
          </cell>
          <cell r="G473" t="str">
            <v>Core</v>
          </cell>
          <cell r="H473" t="str">
            <v>SG_02_01 Sun Glass Hut_Gold_OWNED</v>
          </cell>
          <cell r="I473" t="str">
            <v>0000004452 Danbury Fair Mall</v>
          </cell>
          <cell r="J473" t="str">
            <v>Gold Inline</v>
          </cell>
          <cell r="K473">
            <v>0</v>
          </cell>
        </row>
        <row r="474">
          <cell r="C474">
            <v>4456</v>
          </cell>
          <cell r="D474" t="str">
            <v>Core</v>
          </cell>
          <cell r="E474" t="str">
            <v>Gold</v>
          </cell>
          <cell r="F474" t="str">
            <v>Gold Inline</v>
          </cell>
          <cell r="G474" t="str">
            <v>Core</v>
          </cell>
          <cell r="H474" t="str">
            <v>SG_02_01 Sun Glass Hut_Gold_OWNED</v>
          </cell>
          <cell r="I474" t="str">
            <v>0000004456 Twelve Oaks Mall</v>
          </cell>
          <cell r="J474" t="str">
            <v>Gold Inline</v>
          </cell>
          <cell r="K474">
            <v>0</v>
          </cell>
        </row>
        <row r="475">
          <cell r="C475">
            <v>4459</v>
          </cell>
          <cell r="D475" t="str">
            <v>Core</v>
          </cell>
          <cell r="E475" t="str">
            <v>Gold</v>
          </cell>
          <cell r="F475" t="str">
            <v>Gold Inline</v>
          </cell>
          <cell r="G475" t="str">
            <v>Core</v>
          </cell>
          <cell r="H475" t="str">
            <v>SG_02_01 Sun Glass Hut_Gold_OWNED</v>
          </cell>
          <cell r="I475" t="str">
            <v>0000004459 Arden Fair</v>
          </cell>
          <cell r="J475" t="str">
            <v>Gold Inline</v>
          </cell>
          <cell r="K475">
            <v>0</v>
          </cell>
        </row>
        <row r="476">
          <cell r="C476">
            <v>4469</v>
          </cell>
          <cell r="D476" t="str">
            <v>Core</v>
          </cell>
          <cell r="E476" t="str">
            <v>Gold</v>
          </cell>
          <cell r="F476" t="str">
            <v>Gold Inline</v>
          </cell>
          <cell r="G476" t="str">
            <v>Core</v>
          </cell>
          <cell r="H476" t="str">
            <v>SG_02_01 Sun Glass Hut_Gold_OWNED</v>
          </cell>
          <cell r="I476" t="str">
            <v>0000004469 Fairlane Town Center</v>
          </cell>
          <cell r="J476" t="str">
            <v>Gold Inline</v>
          </cell>
          <cell r="K476">
            <v>0</v>
          </cell>
        </row>
        <row r="477">
          <cell r="C477">
            <v>4491</v>
          </cell>
          <cell r="D477" t="str">
            <v>Core</v>
          </cell>
          <cell r="E477" t="str">
            <v>Gold</v>
          </cell>
          <cell r="F477" t="str">
            <v>Gold Inline</v>
          </cell>
          <cell r="G477" t="str">
            <v>Core</v>
          </cell>
          <cell r="H477" t="str">
            <v>SG_02_01 Sun Glass Hut_Gold_OWNED</v>
          </cell>
          <cell r="I477" t="str">
            <v>0000004491 The Bay Centre</v>
          </cell>
          <cell r="J477" t="str">
            <v>Gold Inline</v>
          </cell>
          <cell r="K477">
            <v>0</v>
          </cell>
        </row>
        <row r="478">
          <cell r="C478">
            <v>4498</v>
          </cell>
          <cell r="D478" t="str">
            <v>Core</v>
          </cell>
          <cell r="E478" t="str">
            <v>Gold</v>
          </cell>
          <cell r="F478" t="str">
            <v>Gold Inline</v>
          </cell>
          <cell r="G478" t="str">
            <v>Core</v>
          </cell>
          <cell r="H478" t="str">
            <v>SG_02_01 Sun Glass Hut_Gold_OWNED</v>
          </cell>
          <cell r="I478" t="str">
            <v>0000004498 Meadowood Mall</v>
          </cell>
          <cell r="J478" t="str">
            <v>Gold Inline</v>
          </cell>
          <cell r="K478">
            <v>0</v>
          </cell>
        </row>
        <row r="479">
          <cell r="C479">
            <v>4512</v>
          </cell>
          <cell r="D479" t="str">
            <v>Core</v>
          </cell>
          <cell r="E479" t="str">
            <v>Gold</v>
          </cell>
          <cell r="F479" t="str">
            <v>Gold Inline</v>
          </cell>
          <cell r="G479" t="str">
            <v>Core</v>
          </cell>
          <cell r="H479" t="str">
            <v>SG_02_01 Sun Glass Hut_Gold_OWNED</v>
          </cell>
          <cell r="I479" t="str">
            <v>0000004512 Sunvalley Shopping Center</v>
          </cell>
          <cell r="J479" t="str">
            <v>Gold Inline</v>
          </cell>
          <cell r="K479">
            <v>0</v>
          </cell>
        </row>
        <row r="480">
          <cell r="C480">
            <v>4515</v>
          </cell>
          <cell r="D480" t="str">
            <v>Core</v>
          </cell>
          <cell r="E480" t="str">
            <v>Gold</v>
          </cell>
          <cell r="F480" t="str">
            <v>Gold Inline</v>
          </cell>
          <cell r="G480" t="str">
            <v>Core</v>
          </cell>
          <cell r="H480" t="str">
            <v>SG_02_01 Sun Glass Hut_Gold_OWNED</v>
          </cell>
          <cell r="I480" t="str">
            <v>0000004515 Galleria at Tyler</v>
          </cell>
          <cell r="J480" t="str">
            <v>Gold Inline</v>
          </cell>
          <cell r="K480">
            <v>0</v>
          </cell>
        </row>
        <row r="481">
          <cell r="C481">
            <v>4517</v>
          </cell>
          <cell r="D481" t="str">
            <v>Core</v>
          </cell>
          <cell r="E481" t="str">
            <v>Gold</v>
          </cell>
          <cell r="F481" t="str">
            <v>Gold Kiosk</v>
          </cell>
          <cell r="G481" t="str">
            <v>Core</v>
          </cell>
          <cell r="H481" t="str">
            <v>SG_02_01 Sun Glass Hut_Gold_OWNED</v>
          </cell>
          <cell r="I481" t="str">
            <v>0000004517 Cherry Hill Mall</v>
          </cell>
          <cell r="J481" t="str">
            <v>Gold Kiosk</v>
          </cell>
          <cell r="K481">
            <v>0</v>
          </cell>
        </row>
        <row r="482">
          <cell r="C482">
            <v>4525</v>
          </cell>
          <cell r="D482" t="str">
            <v>Core</v>
          </cell>
          <cell r="E482" t="str">
            <v>Gold</v>
          </cell>
          <cell r="F482" t="str">
            <v>Gold Inline</v>
          </cell>
          <cell r="G482" t="str">
            <v>Core</v>
          </cell>
          <cell r="H482" t="str">
            <v>SG_02_01 Sun Glass Hut_Gold_OWNED</v>
          </cell>
          <cell r="I482" t="str">
            <v>0000004525 Saint Louis Galleria</v>
          </cell>
          <cell r="J482" t="str">
            <v>Gold Inline</v>
          </cell>
          <cell r="K482">
            <v>0</v>
          </cell>
        </row>
        <row r="483">
          <cell r="C483">
            <v>4527</v>
          </cell>
          <cell r="D483" t="str">
            <v>Core</v>
          </cell>
          <cell r="E483" t="str">
            <v>Gold</v>
          </cell>
          <cell r="F483" t="str">
            <v>Gold Inline</v>
          </cell>
          <cell r="G483" t="str">
            <v>Core</v>
          </cell>
          <cell r="H483" t="str">
            <v>SG_02_01 Sun Glass Hut_Gold_OWNED</v>
          </cell>
          <cell r="I483" t="str">
            <v>0000004527 Alderwood Mall</v>
          </cell>
          <cell r="J483" t="str">
            <v>Gold Inline</v>
          </cell>
          <cell r="K483">
            <v>0</v>
          </cell>
        </row>
        <row r="484">
          <cell r="C484">
            <v>4531</v>
          </cell>
          <cell r="D484" t="str">
            <v>Core</v>
          </cell>
          <cell r="E484" t="str">
            <v>Gold</v>
          </cell>
          <cell r="F484" t="str">
            <v>Gold Kiosk</v>
          </cell>
          <cell r="G484" t="str">
            <v>Core</v>
          </cell>
          <cell r="H484" t="str">
            <v>SG_02_01 Sun Glass Hut_Gold_OWNED</v>
          </cell>
          <cell r="I484" t="str">
            <v>0000004531 Manhattan Mall</v>
          </cell>
          <cell r="J484" t="str">
            <v>Gold Kiosk</v>
          </cell>
          <cell r="K484">
            <v>0</v>
          </cell>
        </row>
        <row r="485">
          <cell r="C485">
            <v>4547</v>
          </cell>
          <cell r="D485" t="str">
            <v>Core</v>
          </cell>
          <cell r="E485" t="str">
            <v>Gold</v>
          </cell>
          <cell r="F485" t="str">
            <v>Gold Inline</v>
          </cell>
          <cell r="G485" t="str">
            <v>Core</v>
          </cell>
          <cell r="H485" t="str">
            <v>SG_02_01 Sun Glass Hut_Gold_OWNED</v>
          </cell>
          <cell r="I485" t="str">
            <v>0000004547 Clackamas Town Center</v>
          </cell>
          <cell r="J485" t="str">
            <v>Gold Inline</v>
          </cell>
          <cell r="K485">
            <v>0</v>
          </cell>
        </row>
        <row r="486">
          <cell r="C486">
            <v>4557</v>
          </cell>
          <cell r="D486" t="str">
            <v>Core</v>
          </cell>
          <cell r="E486" t="str">
            <v>Gold</v>
          </cell>
          <cell r="F486" t="str">
            <v>Gold Inline</v>
          </cell>
          <cell r="G486" t="str">
            <v>Core</v>
          </cell>
          <cell r="H486" t="str">
            <v>SG_02_01 Sun Glass Hut_Gold_OWNED</v>
          </cell>
          <cell r="I486" t="str">
            <v>0000004557 Lynnhaven Mall</v>
          </cell>
          <cell r="J486" t="str">
            <v>Gold Inline</v>
          </cell>
          <cell r="K486">
            <v>0</v>
          </cell>
        </row>
        <row r="487">
          <cell r="C487">
            <v>4565</v>
          </cell>
          <cell r="D487" t="str">
            <v>Core</v>
          </cell>
          <cell r="E487" t="str">
            <v>Gold</v>
          </cell>
          <cell r="F487" t="str">
            <v>Gold Kiosk</v>
          </cell>
          <cell r="G487" t="str">
            <v>Core</v>
          </cell>
          <cell r="H487" t="str">
            <v>SG_02_01 Sun Glass Hut_Gold_OWNED</v>
          </cell>
          <cell r="I487" t="str">
            <v>0000004565 Square One Shopping Centre</v>
          </cell>
          <cell r="J487" t="str">
            <v>Gold Kiosk</v>
          </cell>
          <cell r="K487">
            <v>0</v>
          </cell>
        </row>
        <row r="488">
          <cell r="C488">
            <v>4572</v>
          </cell>
          <cell r="D488" t="str">
            <v>Core</v>
          </cell>
          <cell r="E488" t="str">
            <v>Gold</v>
          </cell>
          <cell r="F488" t="str">
            <v>Gold Inline</v>
          </cell>
          <cell r="G488" t="str">
            <v>Core</v>
          </cell>
          <cell r="H488" t="str">
            <v>SG_02_01 Sun Glass Hut_Gold_OWNED</v>
          </cell>
          <cell r="I488" t="str">
            <v>0000004572 Sunland Park Mall</v>
          </cell>
          <cell r="J488" t="str">
            <v>Gold Inline</v>
          </cell>
          <cell r="K488">
            <v>0</v>
          </cell>
        </row>
        <row r="489">
          <cell r="C489">
            <v>4573</v>
          </cell>
          <cell r="D489" t="str">
            <v>Core</v>
          </cell>
          <cell r="E489" t="str">
            <v>Gold</v>
          </cell>
          <cell r="F489" t="str">
            <v>Gold Inline</v>
          </cell>
          <cell r="G489" t="str">
            <v>Core</v>
          </cell>
          <cell r="H489" t="str">
            <v>SG_02_01 Sun Glass Hut_Gold_OWNED</v>
          </cell>
          <cell r="I489" t="str">
            <v>0000004573 Santa Rosa Plaza</v>
          </cell>
          <cell r="J489" t="str">
            <v>Gold Inline</v>
          </cell>
          <cell r="K489">
            <v>0</v>
          </cell>
        </row>
        <row r="490">
          <cell r="C490">
            <v>4580</v>
          </cell>
          <cell r="D490" t="str">
            <v>Core</v>
          </cell>
          <cell r="E490" t="str">
            <v>Gold</v>
          </cell>
          <cell r="F490" t="str">
            <v>Gold Kiosk</v>
          </cell>
          <cell r="G490" t="str">
            <v>Core</v>
          </cell>
          <cell r="H490" t="str">
            <v>SG_02_01 Sun Glass Hut_Gold_OWNED</v>
          </cell>
          <cell r="I490" t="str">
            <v>0000004580 La Palmera</v>
          </cell>
          <cell r="J490" t="str">
            <v>Gold Kiosk</v>
          </cell>
          <cell r="K490">
            <v>0</v>
          </cell>
        </row>
        <row r="491">
          <cell r="C491">
            <v>4584</v>
          </cell>
          <cell r="D491" t="str">
            <v>Core</v>
          </cell>
          <cell r="E491" t="str">
            <v>Gold</v>
          </cell>
          <cell r="F491" t="str">
            <v>Gold Kiosk</v>
          </cell>
          <cell r="G491" t="str">
            <v>Core</v>
          </cell>
          <cell r="H491" t="str">
            <v>SG_02_01 Sun Glass Hut_Gold_OWNED</v>
          </cell>
          <cell r="I491" t="str">
            <v>0000004584 La Plaza Mall</v>
          </cell>
          <cell r="J491" t="str">
            <v>Gold Kiosk</v>
          </cell>
          <cell r="K491">
            <v>0</v>
          </cell>
        </row>
        <row r="492">
          <cell r="C492">
            <v>4590</v>
          </cell>
          <cell r="D492" t="str">
            <v>Core</v>
          </cell>
          <cell r="E492" t="str">
            <v>Gold</v>
          </cell>
          <cell r="F492" t="str">
            <v>Gold Kiosk</v>
          </cell>
          <cell r="G492" t="str">
            <v>Core</v>
          </cell>
          <cell r="H492" t="str">
            <v>SG_02_01 Sun Glass Hut_Gold_OWNED</v>
          </cell>
          <cell r="I492" t="str">
            <v>0000004590 Concord Mall</v>
          </cell>
          <cell r="J492" t="str">
            <v>Gold Kiosk</v>
          </cell>
          <cell r="K492">
            <v>0</v>
          </cell>
        </row>
        <row r="493">
          <cell r="C493">
            <v>4595</v>
          </cell>
          <cell r="D493" t="str">
            <v>Core</v>
          </cell>
          <cell r="E493" t="str">
            <v>Gold</v>
          </cell>
          <cell r="F493" t="str">
            <v>Gold Kiosk</v>
          </cell>
          <cell r="G493" t="str">
            <v>Core</v>
          </cell>
          <cell r="H493" t="str">
            <v>SG_02_01 Sun Glass Hut_Gold_OWNED</v>
          </cell>
          <cell r="I493" t="str">
            <v>0000004595 The Maine Mall</v>
          </cell>
          <cell r="J493" t="str">
            <v>Gold Kiosk</v>
          </cell>
          <cell r="K493">
            <v>0</v>
          </cell>
        </row>
        <row r="494">
          <cell r="C494">
            <v>4614</v>
          </cell>
          <cell r="D494" t="str">
            <v>Core</v>
          </cell>
          <cell r="E494" t="str">
            <v>Gold</v>
          </cell>
          <cell r="F494" t="str">
            <v>Gold Inline</v>
          </cell>
          <cell r="G494" t="str">
            <v>Core</v>
          </cell>
          <cell r="H494" t="str">
            <v>SG_02_01 Sun Glass Hut_Gold_OWNED</v>
          </cell>
          <cell r="I494" t="str">
            <v>0000004614 Horton Plaza</v>
          </cell>
          <cell r="J494" t="str">
            <v>Gold Inline</v>
          </cell>
          <cell r="K494">
            <v>0</v>
          </cell>
        </row>
        <row r="495">
          <cell r="C495">
            <v>4621</v>
          </cell>
          <cell r="D495" t="str">
            <v>Core</v>
          </cell>
          <cell r="E495" t="str">
            <v>Gold</v>
          </cell>
          <cell r="F495" t="str">
            <v>Gold Kiosk</v>
          </cell>
          <cell r="G495" t="str">
            <v>Core</v>
          </cell>
          <cell r="H495" t="str">
            <v>SG_02_01 Sun Glass Hut_Gold_OWNED</v>
          </cell>
          <cell r="I495" t="str">
            <v>0000004621 Warwick Mall</v>
          </cell>
          <cell r="J495" t="str">
            <v>Gold Kiosk</v>
          </cell>
          <cell r="K495">
            <v>0</v>
          </cell>
        </row>
        <row r="496">
          <cell r="C496">
            <v>4630</v>
          </cell>
          <cell r="D496" t="str">
            <v>Core</v>
          </cell>
          <cell r="E496" t="str">
            <v>Gold</v>
          </cell>
          <cell r="F496" t="str">
            <v>Gold Inline</v>
          </cell>
          <cell r="G496" t="str">
            <v>Core</v>
          </cell>
          <cell r="H496" t="str">
            <v>SG_02_01 Sun Glass Hut_Gold_OWNED</v>
          </cell>
          <cell r="I496" t="str">
            <v>0000004630 Orland Square</v>
          </cell>
          <cell r="J496" t="str">
            <v>Gold Inline</v>
          </cell>
          <cell r="K496">
            <v>0</v>
          </cell>
        </row>
        <row r="497">
          <cell r="C497">
            <v>4634</v>
          </cell>
          <cell r="D497" t="str">
            <v>Core</v>
          </cell>
          <cell r="E497" t="str">
            <v>Gold</v>
          </cell>
          <cell r="F497" t="str">
            <v>Gold Inline</v>
          </cell>
          <cell r="G497" t="str">
            <v>Core</v>
          </cell>
          <cell r="H497" t="str">
            <v>SG_02_01 Sun Glass Hut_Gold_OWNED</v>
          </cell>
          <cell r="I497" t="str">
            <v>0000004634 Ocean County Mall</v>
          </cell>
          <cell r="J497" t="str">
            <v>Gold Inline</v>
          </cell>
          <cell r="K497">
            <v>0</v>
          </cell>
        </row>
        <row r="498">
          <cell r="C498">
            <v>4640</v>
          </cell>
          <cell r="D498" t="str">
            <v>Core</v>
          </cell>
          <cell r="E498" t="str">
            <v>Gold</v>
          </cell>
          <cell r="F498" t="str">
            <v>Gold Kiosk</v>
          </cell>
          <cell r="G498" t="str">
            <v>Core</v>
          </cell>
          <cell r="H498" t="str">
            <v>SG_02_01 Sun Glass Hut_Gold_OWNED</v>
          </cell>
          <cell r="I498" t="str">
            <v>0000004640 St Laurent Centre</v>
          </cell>
          <cell r="J498" t="str">
            <v>Gold Kiosk</v>
          </cell>
          <cell r="K498">
            <v>0</v>
          </cell>
        </row>
        <row r="499">
          <cell r="C499">
            <v>4641</v>
          </cell>
          <cell r="D499" t="str">
            <v>Core</v>
          </cell>
          <cell r="E499" t="str">
            <v>Gold</v>
          </cell>
          <cell r="F499" t="str">
            <v>Gold Inline</v>
          </cell>
          <cell r="G499" t="str">
            <v>Core</v>
          </cell>
          <cell r="H499" t="str">
            <v>SG_02_01 Sun Glass Hut_Gold_OWNED</v>
          </cell>
          <cell r="I499" t="str">
            <v>0000004641 Carolina Place Mall</v>
          </cell>
          <cell r="J499" t="str">
            <v>Gold Inline</v>
          </cell>
          <cell r="K499">
            <v>0</v>
          </cell>
        </row>
        <row r="500">
          <cell r="C500">
            <v>4642</v>
          </cell>
          <cell r="D500" t="str">
            <v>Core</v>
          </cell>
          <cell r="E500" t="str">
            <v>Gold</v>
          </cell>
          <cell r="F500" t="str">
            <v>Gold Kiosk</v>
          </cell>
          <cell r="G500" t="str">
            <v>Core</v>
          </cell>
          <cell r="H500" t="str">
            <v>SG_02_01 Sun Glass Hut_Gold_OWNED</v>
          </cell>
          <cell r="I500" t="str">
            <v>0000004642 Plaza Carolina</v>
          </cell>
          <cell r="J500" t="str">
            <v>Gold Kiosk</v>
          </cell>
          <cell r="K500">
            <v>0</v>
          </cell>
        </row>
        <row r="501">
          <cell r="C501">
            <v>4646</v>
          </cell>
          <cell r="D501" t="str">
            <v>Core</v>
          </cell>
          <cell r="E501" t="str">
            <v>Gold</v>
          </cell>
          <cell r="F501" t="str">
            <v>Gold Inline</v>
          </cell>
          <cell r="G501" t="str">
            <v>Core</v>
          </cell>
          <cell r="H501" t="str">
            <v>SG_02_01 Sun Glass Hut_Gold_OWNED</v>
          </cell>
          <cell r="I501" t="str">
            <v>0000004646 Plaza del Caribe</v>
          </cell>
          <cell r="J501" t="str">
            <v>Gold Inline</v>
          </cell>
          <cell r="K501">
            <v>0</v>
          </cell>
        </row>
        <row r="502">
          <cell r="C502">
            <v>4648</v>
          </cell>
          <cell r="D502" t="str">
            <v>Core</v>
          </cell>
          <cell r="E502" t="str">
            <v>Gold</v>
          </cell>
          <cell r="F502" t="str">
            <v>Gold Inline</v>
          </cell>
          <cell r="G502" t="str">
            <v>Core</v>
          </cell>
          <cell r="H502" t="str">
            <v>SG_02_01 Sun Glass Hut_Gold_OWNED</v>
          </cell>
          <cell r="I502" t="str">
            <v>0000004648 Governors Square Mall</v>
          </cell>
          <cell r="J502" t="str">
            <v>Gold Inline</v>
          </cell>
          <cell r="K502">
            <v>0</v>
          </cell>
        </row>
        <row r="503">
          <cell r="C503">
            <v>4661</v>
          </cell>
          <cell r="D503" t="str">
            <v>Core</v>
          </cell>
          <cell r="E503" t="str">
            <v>Gold</v>
          </cell>
          <cell r="F503" t="str">
            <v>Gold Inline</v>
          </cell>
          <cell r="G503" t="str">
            <v>Core</v>
          </cell>
          <cell r="H503" t="str">
            <v>SG_02_01 Sun Glass Hut_Gold_OWNED</v>
          </cell>
          <cell r="I503" t="str">
            <v>0000004661 Hyatt Regency Maui</v>
          </cell>
          <cell r="J503" t="str">
            <v>Gold Inline</v>
          </cell>
          <cell r="K503">
            <v>0</v>
          </cell>
        </row>
        <row r="504">
          <cell r="C504">
            <v>4670</v>
          </cell>
          <cell r="D504" t="str">
            <v>Core</v>
          </cell>
          <cell r="E504" t="str">
            <v>Gold</v>
          </cell>
          <cell r="F504" t="str">
            <v>Gold Inline</v>
          </cell>
          <cell r="G504" t="str">
            <v>Core</v>
          </cell>
          <cell r="H504" t="str">
            <v>SG_02_01 Sun Glass Hut_Gold_OWNED</v>
          </cell>
          <cell r="I504" t="str">
            <v>0000004670 West Covina Mall</v>
          </cell>
          <cell r="J504" t="str">
            <v>Gold Inline</v>
          </cell>
          <cell r="K504">
            <v>0</v>
          </cell>
        </row>
        <row r="505">
          <cell r="C505">
            <v>4683</v>
          </cell>
          <cell r="D505" t="str">
            <v>Core</v>
          </cell>
          <cell r="E505" t="str">
            <v>Gold</v>
          </cell>
          <cell r="F505" t="str">
            <v>Gold Inline</v>
          </cell>
          <cell r="G505" t="str">
            <v>Core</v>
          </cell>
          <cell r="H505" t="str">
            <v>SG_02_01 Sun Glass Hut_Gold_OWNED</v>
          </cell>
          <cell r="I505" t="str">
            <v>0000004683 Chicago Ridge Mall</v>
          </cell>
          <cell r="J505" t="str">
            <v>Gold Inline</v>
          </cell>
          <cell r="K505">
            <v>0</v>
          </cell>
        </row>
        <row r="506">
          <cell r="C506">
            <v>4689</v>
          </cell>
          <cell r="D506" t="str">
            <v>Core</v>
          </cell>
          <cell r="E506" t="str">
            <v>Gold</v>
          </cell>
          <cell r="F506" t="str">
            <v>Gold Kiosk</v>
          </cell>
          <cell r="G506" t="str">
            <v>Core</v>
          </cell>
          <cell r="H506" t="str">
            <v>SG_02_01 Sun Glass Hut_Gold_OWNED</v>
          </cell>
          <cell r="I506" t="str">
            <v>0000004689 Mall del Norte</v>
          </cell>
          <cell r="J506" t="str">
            <v>Gold Kiosk</v>
          </cell>
          <cell r="K506">
            <v>0</v>
          </cell>
        </row>
        <row r="507">
          <cell r="C507">
            <v>4696</v>
          </cell>
          <cell r="D507" t="str">
            <v>Core</v>
          </cell>
          <cell r="E507" t="str">
            <v>Gold</v>
          </cell>
          <cell r="F507" t="str">
            <v>Gold Inline</v>
          </cell>
          <cell r="G507" t="str">
            <v>Core</v>
          </cell>
          <cell r="H507" t="str">
            <v>SG_02_01 Sun Glass Hut_Gold_OWNED</v>
          </cell>
          <cell r="I507" t="str">
            <v>0000004696 Deptford Mall</v>
          </cell>
          <cell r="J507" t="str">
            <v>Gold Inline</v>
          </cell>
          <cell r="K507">
            <v>0</v>
          </cell>
        </row>
        <row r="508">
          <cell r="C508">
            <v>4703</v>
          </cell>
          <cell r="D508" t="str">
            <v>Core</v>
          </cell>
          <cell r="E508" t="str">
            <v>Gold</v>
          </cell>
          <cell r="F508" t="str">
            <v>Gold Inline</v>
          </cell>
          <cell r="G508" t="str">
            <v>Core</v>
          </cell>
          <cell r="H508" t="str">
            <v>SG_02_01 Sun Glass Hut_Gold_OWNED</v>
          </cell>
          <cell r="I508" t="str">
            <v>0000004703 Square One Mall</v>
          </cell>
          <cell r="J508" t="str">
            <v>Gold Inline</v>
          </cell>
          <cell r="K508">
            <v>0</v>
          </cell>
        </row>
        <row r="509">
          <cell r="C509">
            <v>4705</v>
          </cell>
          <cell r="D509" t="str">
            <v>Core</v>
          </cell>
          <cell r="E509" t="str">
            <v>Gold</v>
          </cell>
          <cell r="F509" t="str">
            <v>Gold Inline</v>
          </cell>
          <cell r="G509" t="str">
            <v>Core</v>
          </cell>
          <cell r="H509" t="str">
            <v>SG_02_01 Sun Glass Hut_Gold_OWNED</v>
          </cell>
          <cell r="I509" t="str">
            <v>0000004705 Arrowhead Towne Center</v>
          </cell>
          <cell r="J509" t="str">
            <v>Gold Inline</v>
          </cell>
          <cell r="K509">
            <v>0</v>
          </cell>
        </row>
        <row r="510">
          <cell r="C510">
            <v>4706</v>
          </cell>
          <cell r="D510" t="str">
            <v>Core</v>
          </cell>
          <cell r="E510" t="str">
            <v>Gold</v>
          </cell>
          <cell r="F510" t="str">
            <v>Gold Kiosk</v>
          </cell>
          <cell r="G510" t="str">
            <v>Core</v>
          </cell>
          <cell r="H510" t="str">
            <v>SG_02_01 Sun Glass Hut_Gold_OWNED</v>
          </cell>
          <cell r="I510" t="str">
            <v>0000004706 North Point Mall</v>
          </cell>
          <cell r="J510" t="str">
            <v>Gold Kiosk</v>
          </cell>
          <cell r="K510">
            <v>0</v>
          </cell>
        </row>
        <row r="511">
          <cell r="C511">
            <v>4707</v>
          </cell>
          <cell r="D511" t="str">
            <v>Core</v>
          </cell>
          <cell r="E511" t="str">
            <v>Gold</v>
          </cell>
          <cell r="F511" t="str">
            <v>Gold Inline</v>
          </cell>
          <cell r="G511" t="str">
            <v>Core</v>
          </cell>
          <cell r="H511" t="str">
            <v>SG_02_01 Sun Glass Hut_Gold_OWNED</v>
          </cell>
          <cell r="I511" t="str">
            <v>0000004707 North Point Mall</v>
          </cell>
          <cell r="J511" t="str">
            <v>Gold Inline</v>
          </cell>
          <cell r="K511">
            <v>0</v>
          </cell>
        </row>
        <row r="512">
          <cell r="C512">
            <v>4718</v>
          </cell>
          <cell r="D512" t="str">
            <v>Core</v>
          </cell>
          <cell r="E512" t="str">
            <v>Gold</v>
          </cell>
          <cell r="F512" t="str">
            <v>Gold Kiosk</v>
          </cell>
          <cell r="G512" t="str">
            <v>Core</v>
          </cell>
          <cell r="H512" t="str">
            <v>SG_02_01 Sun Glass Hut_Gold_OWNED</v>
          </cell>
          <cell r="I512" t="str">
            <v>0000004718 Northshore Mall</v>
          </cell>
          <cell r="J512" t="str">
            <v>Gold Kiosk</v>
          </cell>
          <cell r="K512">
            <v>0</v>
          </cell>
        </row>
        <row r="513">
          <cell r="C513">
            <v>4721</v>
          </cell>
          <cell r="D513" t="str">
            <v>Core</v>
          </cell>
          <cell r="E513" t="str">
            <v>Gold</v>
          </cell>
          <cell r="F513" t="str">
            <v>Gold Inline</v>
          </cell>
          <cell r="G513" t="str">
            <v>Core</v>
          </cell>
          <cell r="H513" t="str">
            <v>SG_02_01 Sun Glass Hut_Gold_OWNED</v>
          </cell>
          <cell r="I513" t="str">
            <v>0000004721 Plaza del Norte</v>
          </cell>
          <cell r="J513" t="str">
            <v>Gold Inline</v>
          </cell>
          <cell r="K513">
            <v>0</v>
          </cell>
        </row>
        <row r="514">
          <cell r="C514">
            <v>4731</v>
          </cell>
          <cell r="D514" t="str">
            <v>Core</v>
          </cell>
          <cell r="E514" t="str">
            <v>Gold</v>
          </cell>
          <cell r="F514" t="str">
            <v>Gold Inline</v>
          </cell>
          <cell r="G514" t="str">
            <v>Core</v>
          </cell>
          <cell r="H514" t="str">
            <v>SG_02_01 Sun Glass Hut_Gold_OWNED</v>
          </cell>
          <cell r="I514" t="str">
            <v>0000004731 Tyrone Square Mall</v>
          </cell>
          <cell r="J514" t="str">
            <v>Gold Inline</v>
          </cell>
          <cell r="K514">
            <v>0</v>
          </cell>
        </row>
        <row r="515">
          <cell r="C515">
            <v>4734</v>
          </cell>
          <cell r="D515" t="str">
            <v>Core</v>
          </cell>
          <cell r="E515" t="str">
            <v>Gold</v>
          </cell>
          <cell r="F515" t="str">
            <v>Gold Inline</v>
          </cell>
          <cell r="G515" t="str">
            <v>Core</v>
          </cell>
          <cell r="H515" t="str">
            <v>SG_02_01 Sun Glass Hut_Gold_OWNED</v>
          </cell>
          <cell r="I515" t="str">
            <v>0000004734 Westroads Mall</v>
          </cell>
          <cell r="J515" t="str">
            <v>Gold Inline</v>
          </cell>
          <cell r="K515">
            <v>0</v>
          </cell>
        </row>
        <row r="516">
          <cell r="C516">
            <v>4735</v>
          </cell>
          <cell r="D516" t="str">
            <v>Core</v>
          </cell>
          <cell r="E516" t="str">
            <v>Gold</v>
          </cell>
          <cell r="F516" t="str">
            <v>Gold Inline</v>
          </cell>
          <cell r="G516" t="str">
            <v>Core</v>
          </cell>
          <cell r="H516" t="str">
            <v>SG_02_01 Sun Glass Hut_Gold_OWNED</v>
          </cell>
          <cell r="I516" t="str">
            <v>0000004735 Paramus Park Mall</v>
          </cell>
          <cell r="J516" t="str">
            <v>Gold Inline</v>
          </cell>
          <cell r="K516">
            <v>0</v>
          </cell>
        </row>
        <row r="517">
          <cell r="C517">
            <v>4745</v>
          </cell>
          <cell r="D517" t="str">
            <v>Core</v>
          </cell>
          <cell r="E517" t="str">
            <v>Gold</v>
          </cell>
          <cell r="F517" t="str">
            <v>Gold Inline</v>
          </cell>
          <cell r="G517" t="str">
            <v>Core</v>
          </cell>
          <cell r="H517" t="str">
            <v>SG_02_01 Sun Glass Hut_Gold_OWNED</v>
          </cell>
          <cell r="I517" t="str">
            <v>0000004745 Livingston Mall</v>
          </cell>
          <cell r="J517" t="str">
            <v>Gold Inline</v>
          </cell>
          <cell r="K517">
            <v>0</v>
          </cell>
        </row>
        <row r="518">
          <cell r="C518">
            <v>4761</v>
          </cell>
          <cell r="D518" t="str">
            <v>Core</v>
          </cell>
          <cell r="E518" t="str">
            <v>Gold</v>
          </cell>
          <cell r="F518" t="str">
            <v>Gold Inline</v>
          </cell>
          <cell r="G518" t="str">
            <v>Core</v>
          </cell>
          <cell r="H518" t="str">
            <v>SG_02_01 Sun Glass Hut_Gold_OWNED</v>
          </cell>
          <cell r="I518" t="str">
            <v>0000004761 Bel Air Mall</v>
          </cell>
          <cell r="J518" t="str">
            <v>Gold Inline</v>
          </cell>
          <cell r="K518">
            <v>0</v>
          </cell>
        </row>
        <row r="519">
          <cell r="C519">
            <v>4767</v>
          </cell>
          <cell r="D519" t="str">
            <v>Core</v>
          </cell>
          <cell r="E519" t="str">
            <v>Gold</v>
          </cell>
          <cell r="F519" t="str">
            <v>Gold Inline</v>
          </cell>
          <cell r="G519" t="str">
            <v>Core</v>
          </cell>
          <cell r="H519" t="str">
            <v>SG_02_01 Sun Glass Hut_Gold_OWNED</v>
          </cell>
          <cell r="I519" t="str">
            <v>0000004767 Metrocenter Mall</v>
          </cell>
          <cell r="J519" t="str">
            <v>Gold Inline</v>
          </cell>
          <cell r="K519">
            <v>0</v>
          </cell>
        </row>
        <row r="520">
          <cell r="C520">
            <v>4769</v>
          </cell>
          <cell r="D520" t="str">
            <v>Core</v>
          </cell>
          <cell r="E520" t="str">
            <v>Gold</v>
          </cell>
          <cell r="F520" t="str">
            <v>Gold Inline</v>
          </cell>
          <cell r="G520" t="str">
            <v>Core</v>
          </cell>
          <cell r="H520" t="str">
            <v>SG_02_01 Sun Glass Hut_Gold_OWNED</v>
          </cell>
          <cell r="I520" t="str">
            <v>0000004769 Paradise Valley Mall</v>
          </cell>
          <cell r="J520" t="str">
            <v>Gold Inline</v>
          </cell>
          <cell r="K520">
            <v>0</v>
          </cell>
        </row>
        <row r="521">
          <cell r="C521">
            <v>4776</v>
          </cell>
          <cell r="D521" t="str">
            <v>Core</v>
          </cell>
          <cell r="E521" t="str">
            <v>Gold</v>
          </cell>
          <cell r="F521" t="str">
            <v>Gold Inline</v>
          </cell>
          <cell r="G521" t="str">
            <v>Core</v>
          </cell>
          <cell r="H521" t="str">
            <v>SG_02_01 Sun Glass Hut_Gold_OWNED</v>
          </cell>
          <cell r="I521" t="str">
            <v>0000004776 The Shops at Montebello</v>
          </cell>
          <cell r="J521" t="str">
            <v>Gold Inline</v>
          </cell>
          <cell r="K521">
            <v>0</v>
          </cell>
        </row>
        <row r="522">
          <cell r="C522">
            <v>4783</v>
          </cell>
          <cell r="D522" t="str">
            <v>Core</v>
          </cell>
          <cell r="E522" t="str">
            <v>Gold</v>
          </cell>
          <cell r="F522" t="str">
            <v>Gold Kiosk</v>
          </cell>
          <cell r="G522" t="str">
            <v>Core</v>
          </cell>
          <cell r="H522" t="str">
            <v>SG_02_01 Sun Glass Hut_Gold_OWNED</v>
          </cell>
          <cell r="I522" t="str">
            <v>0000004783 Valley Plaza Mall</v>
          </cell>
          <cell r="J522" t="str">
            <v>Gold Kiosk</v>
          </cell>
          <cell r="K522">
            <v>0</v>
          </cell>
        </row>
        <row r="523">
          <cell r="C523">
            <v>4936</v>
          </cell>
          <cell r="D523" t="str">
            <v>Core</v>
          </cell>
          <cell r="E523" t="str">
            <v>Gold</v>
          </cell>
          <cell r="F523" t="str">
            <v>Gold Inline</v>
          </cell>
          <cell r="G523" t="str">
            <v>Core</v>
          </cell>
          <cell r="H523" t="str">
            <v>SG_02_01 Sun Glass Hut_Gold_OWNED</v>
          </cell>
          <cell r="I523" t="str">
            <v>0000004936 Mall of America</v>
          </cell>
          <cell r="J523" t="str">
            <v>Gold Inline</v>
          </cell>
          <cell r="K523">
            <v>0</v>
          </cell>
        </row>
        <row r="524">
          <cell r="C524">
            <v>4941</v>
          </cell>
          <cell r="D524" t="str">
            <v>Core</v>
          </cell>
          <cell r="E524" t="str">
            <v>Gold</v>
          </cell>
          <cell r="F524" t="str">
            <v>Gold Inline</v>
          </cell>
          <cell r="G524" t="str">
            <v>Core</v>
          </cell>
          <cell r="H524" t="str">
            <v>SG_02_01 Sun Glass Hut_Gold_OWNED</v>
          </cell>
          <cell r="I524" t="str">
            <v>0000004941 Northgate Mall</v>
          </cell>
          <cell r="J524" t="str">
            <v>Gold Inline</v>
          </cell>
          <cell r="K524">
            <v>0</v>
          </cell>
        </row>
        <row r="525">
          <cell r="C525">
            <v>4949</v>
          </cell>
          <cell r="D525" t="str">
            <v>Core</v>
          </cell>
          <cell r="E525" t="str">
            <v>Gold</v>
          </cell>
          <cell r="F525" t="str">
            <v>Gold Inline</v>
          </cell>
          <cell r="G525" t="str">
            <v>Core</v>
          </cell>
          <cell r="H525" t="str">
            <v>SG_02_01 Sun Glass Hut_Gold_OWNED</v>
          </cell>
          <cell r="I525" t="str">
            <v>0000004949 Culver City</v>
          </cell>
          <cell r="J525" t="str">
            <v>Gold Inline</v>
          </cell>
          <cell r="K525">
            <v>0</v>
          </cell>
        </row>
        <row r="526">
          <cell r="C526">
            <v>4964</v>
          </cell>
          <cell r="D526" t="str">
            <v>Core</v>
          </cell>
          <cell r="E526" t="str">
            <v>Gold</v>
          </cell>
          <cell r="F526" t="str">
            <v>Gold Inline</v>
          </cell>
          <cell r="G526" t="str">
            <v>Core</v>
          </cell>
          <cell r="H526" t="str">
            <v>SG_02_01 Sun Glass Hut_Gold_OWNED</v>
          </cell>
          <cell r="I526" t="str">
            <v>0000004964 The Shops at Riverside</v>
          </cell>
          <cell r="J526" t="str">
            <v>Gold Inline</v>
          </cell>
          <cell r="K526">
            <v>0</v>
          </cell>
        </row>
        <row r="527">
          <cell r="C527">
            <v>4965</v>
          </cell>
          <cell r="D527" t="str">
            <v>Core</v>
          </cell>
          <cell r="E527" t="str">
            <v>Gold</v>
          </cell>
          <cell r="F527" t="str">
            <v>Gold Inline</v>
          </cell>
          <cell r="G527" t="str">
            <v>Core</v>
          </cell>
          <cell r="H527" t="str">
            <v>SG_02_01 Sun Glass Hut_Gold_OWNED</v>
          </cell>
          <cell r="I527" t="str">
            <v>0000004965 South Shore Plaza</v>
          </cell>
          <cell r="J527" t="str">
            <v>Gold Inline</v>
          </cell>
          <cell r="K527">
            <v>0</v>
          </cell>
        </row>
        <row r="528">
          <cell r="C528">
            <v>4987</v>
          </cell>
          <cell r="D528" t="str">
            <v>Core</v>
          </cell>
          <cell r="E528" t="str">
            <v>Gold</v>
          </cell>
          <cell r="F528" t="str">
            <v>Gold Inline</v>
          </cell>
          <cell r="G528" t="str">
            <v>Core</v>
          </cell>
          <cell r="H528" t="str">
            <v>SG_02_01 Sun Glass Hut_Gold_OWNED</v>
          </cell>
          <cell r="I528" t="str">
            <v>0000004987 Markville Shopping Centre</v>
          </cell>
          <cell r="J528" t="str">
            <v>Gold Inline</v>
          </cell>
          <cell r="K528">
            <v>0</v>
          </cell>
        </row>
        <row r="529">
          <cell r="C529">
            <v>5014</v>
          </cell>
          <cell r="D529" t="str">
            <v>Core</v>
          </cell>
          <cell r="E529" t="str">
            <v>Gold</v>
          </cell>
          <cell r="F529" t="str">
            <v>Gold Inline</v>
          </cell>
          <cell r="G529" t="str">
            <v>Core</v>
          </cell>
          <cell r="H529" t="str">
            <v>SG_02_01 Sun Glass Hut_Gold_OWNED</v>
          </cell>
          <cell r="I529" t="str">
            <v>0000005014 Simi Valley Town Center</v>
          </cell>
          <cell r="J529" t="str">
            <v>Gold Inline</v>
          </cell>
          <cell r="K529">
            <v>0</v>
          </cell>
        </row>
        <row r="530">
          <cell r="C530">
            <v>5016</v>
          </cell>
          <cell r="D530" t="str">
            <v>Core</v>
          </cell>
          <cell r="E530" t="str">
            <v>Gold</v>
          </cell>
          <cell r="F530" t="str">
            <v>Gold Inline</v>
          </cell>
          <cell r="G530" t="str">
            <v>Core</v>
          </cell>
          <cell r="H530" t="str">
            <v>SG_02_01 Sun Glass Hut_Gold_OWNED</v>
          </cell>
          <cell r="I530" t="str">
            <v>0000005016 Sixth Ave</v>
          </cell>
          <cell r="J530" t="str">
            <v>Gold Inline</v>
          </cell>
          <cell r="K530">
            <v>0</v>
          </cell>
        </row>
        <row r="531">
          <cell r="C531">
            <v>5029</v>
          </cell>
          <cell r="D531" t="str">
            <v>Core</v>
          </cell>
          <cell r="E531" t="str">
            <v>Gold</v>
          </cell>
          <cell r="F531" t="str">
            <v>Gold Inline</v>
          </cell>
          <cell r="G531" t="str">
            <v>Core</v>
          </cell>
          <cell r="H531" t="str">
            <v>SG_02_01 Sun Glass Hut_Gold_OWNED</v>
          </cell>
          <cell r="I531" t="str">
            <v>0000005029 Victoria Gardens</v>
          </cell>
          <cell r="J531" t="str">
            <v>Gold Inline</v>
          </cell>
          <cell r="K531">
            <v>0</v>
          </cell>
        </row>
        <row r="532">
          <cell r="C532">
            <v>5032</v>
          </cell>
          <cell r="D532" t="str">
            <v>Core</v>
          </cell>
          <cell r="E532" t="str">
            <v>Gold</v>
          </cell>
          <cell r="F532" t="str">
            <v>Gold Inline</v>
          </cell>
          <cell r="G532" t="str">
            <v>Core</v>
          </cell>
          <cell r="H532" t="str">
            <v>SG_02_01 Sun Glass Hut_Gold_OWNED</v>
          </cell>
          <cell r="I532" t="str">
            <v>0000005032 Zona Rosa</v>
          </cell>
          <cell r="J532" t="str">
            <v>Gold Inline</v>
          </cell>
          <cell r="K532">
            <v>0</v>
          </cell>
        </row>
        <row r="533">
          <cell r="C533">
            <v>5034</v>
          </cell>
          <cell r="D533" t="str">
            <v>Core</v>
          </cell>
          <cell r="E533" t="str">
            <v>Gold</v>
          </cell>
          <cell r="F533" t="str">
            <v>Gold Inline</v>
          </cell>
          <cell r="G533" t="str">
            <v>Core</v>
          </cell>
          <cell r="H533" t="str">
            <v>SG_02_01 Sun Glass Hut_Gold_OWNED</v>
          </cell>
          <cell r="I533" t="str">
            <v>0000005034 Jordan Creek Town Center</v>
          </cell>
          <cell r="J533" t="str">
            <v>Gold Inline</v>
          </cell>
          <cell r="K533">
            <v>0</v>
          </cell>
        </row>
        <row r="534">
          <cell r="C534">
            <v>5035</v>
          </cell>
          <cell r="D534" t="str">
            <v>Core</v>
          </cell>
          <cell r="E534" t="str">
            <v>Gold</v>
          </cell>
          <cell r="F534" t="str">
            <v>Gold Inline</v>
          </cell>
          <cell r="G534" t="str">
            <v>Core</v>
          </cell>
          <cell r="H534" t="str">
            <v>SG_02_01 Sun Glass Hut_Gold_OWNED</v>
          </cell>
          <cell r="I534" t="str">
            <v>0000005035 Southlands</v>
          </cell>
          <cell r="J534" t="str">
            <v>Gold Inline</v>
          </cell>
          <cell r="K534">
            <v>0</v>
          </cell>
        </row>
        <row r="535">
          <cell r="C535">
            <v>5036</v>
          </cell>
          <cell r="D535" t="str">
            <v>Core</v>
          </cell>
          <cell r="E535" t="str">
            <v>Gold</v>
          </cell>
          <cell r="F535" t="str">
            <v>Gold Inline</v>
          </cell>
          <cell r="G535" t="str">
            <v>Core</v>
          </cell>
          <cell r="H535" t="str">
            <v>SG_02_01 Sun Glass Hut_Gold_OWNED</v>
          </cell>
          <cell r="I535" t="str">
            <v>0000005036 The Shops at Dos Lagos</v>
          </cell>
          <cell r="J535" t="str">
            <v>Gold Inline</v>
          </cell>
          <cell r="K535">
            <v>0</v>
          </cell>
        </row>
        <row r="536">
          <cell r="C536">
            <v>5039</v>
          </cell>
          <cell r="D536" t="str">
            <v>Core</v>
          </cell>
          <cell r="E536" t="str">
            <v>Gold</v>
          </cell>
          <cell r="F536" t="str">
            <v>Gold Inline</v>
          </cell>
          <cell r="G536" t="str">
            <v>Core</v>
          </cell>
          <cell r="H536" t="str">
            <v>SG_02_01 Sun Glass Hut_Gold_OWNED</v>
          </cell>
          <cell r="I536" t="str">
            <v>0000005039 The Shoppes at Eastchase</v>
          </cell>
          <cell r="J536" t="str">
            <v>Gold Inline</v>
          </cell>
          <cell r="K536">
            <v>0</v>
          </cell>
        </row>
        <row r="537">
          <cell r="C537">
            <v>5040</v>
          </cell>
          <cell r="D537" t="str">
            <v>Core</v>
          </cell>
          <cell r="E537" t="str">
            <v>Gold</v>
          </cell>
          <cell r="F537" t="str">
            <v>Gold Inline</v>
          </cell>
          <cell r="G537" t="str">
            <v>Core</v>
          </cell>
          <cell r="H537" t="str">
            <v>SG_02_01 Sun Glass Hut_Gold_OWNED</v>
          </cell>
          <cell r="I537" t="str">
            <v>0000005040 The Promenade Shops At Centerr</v>
          </cell>
          <cell r="J537" t="str">
            <v>Gold Inline</v>
          </cell>
          <cell r="K537">
            <v>0</v>
          </cell>
        </row>
        <row r="538">
          <cell r="C538">
            <v>5041</v>
          </cell>
          <cell r="D538" t="str">
            <v>Core</v>
          </cell>
          <cell r="E538" t="str">
            <v>Gold</v>
          </cell>
          <cell r="F538" t="str">
            <v>Gold Inline</v>
          </cell>
          <cell r="G538" t="str">
            <v>Core</v>
          </cell>
          <cell r="H538" t="str">
            <v>SG_02_01 Sun Glass Hut_Gold_OWNED</v>
          </cell>
          <cell r="I538" t="str">
            <v>0000005041 Bayshore Town Center</v>
          </cell>
          <cell r="J538" t="str">
            <v>Gold Inline</v>
          </cell>
          <cell r="K538">
            <v>0</v>
          </cell>
        </row>
        <row r="539">
          <cell r="C539">
            <v>5043</v>
          </cell>
          <cell r="D539" t="str">
            <v>Core</v>
          </cell>
          <cell r="E539" t="str">
            <v>Gold</v>
          </cell>
          <cell r="F539" t="str">
            <v>Gold Inline</v>
          </cell>
          <cell r="G539" t="str">
            <v>Core</v>
          </cell>
          <cell r="H539" t="str">
            <v>SG_02_01 Sun Glass Hut_Gold_OWNED</v>
          </cell>
          <cell r="I539" t="str">
            <v>0000005043 Tempe Marketplace</v>
          </cell>
          <cell r="J539" t="str">
            <v>Gold Inline</v>
          </cell>
          <cell r="K539">
            <v>0</v>
          </cell>
        </row>
        <row r="540">
          <cell r="C540">
            <v>5048</v>
          </cell>
          <cell r="D540" t="str">
            <v>Core</v>
          </cell>
          <cell r="E540" t="str">
            <v>Gold</v>
          </cell>
          <cell r="F540" t="str">
            <v>Gold Inline</v>
          </cell>
          <cell r="G540" t="str">
            <v>Core</v>
          </cell>
          <cell r="H540" t="str">
            <v>SG_02_01 Sun Glass Hut_Gold_OWNED</v>
          </cell>
          <cell r="I540" t="str">
            <v>0000005048 Yuma Palms Regional Center</v>
          </cell>
          <cell r="J540" t="str">
            <v>Gold Inline</v>
          </cell>
          <cell r="K540">
            <v>0</v>
          </cell>
        </row>
        <row r="541">
          <cell r="C541">
            <v>5053</v>
          </cell>
          <cell r="D541" t="str">
            <v>Core</v>
          </cell>
          <cell r="E541" t="str">
            <v>Gold</v>
          </cell>
          <cell r="F541" t="str">
            <v>Gold Inline</v>
          </cell>
          <cell r="G541" t="str">
            <v>Core</v>
          </cell>
          <cell r="H541" t="str">
            <v>SG_02_01 Sun Glass Hut_Gold_OWNED</v>
          </cell>
          <cell r="I541" t="str">
            <v>0000005053 Village Arcade</v>
          </cell>
          <cell r="J541" t="str">
            <v>Gold Inline</v>
          </cell>
          <cell r="K541">
            <v>0</v>
          </cell>
        </row>
        <row r="542">
          <cell r="C542">
            <v>5059</v>
          </cell>
          <cell r="D542" t="str">
            <v>Core</v>
          </cell>
          <cell r="E542" t="str">
            <v>Gold</v>
          </cell>
          <cell r="F542" t="str">
            <v>Gold Inline</v>
          </cell>
          <cell r="G542" t="str">
            <v>Core</v>
          </cell>
          <cell r="H542" t="str">
            <v>SG_02_01 Sun Glass Hut_Gold_OWNED</v>
          </cell>
          <cell r="I542" t="str">
            <v>0000005059 Main St</v>
          </cell>
          <cell r="J542" t="str">
            <v>Gold Inline</v>
          </cell>
          <cell r="K542">
            <v>0</v>
          </cell>
        </row>
        <row r="543">
          <cell r="C543">
            <v>5063</v>
          </cell>
          <cell r="D543" t="str">
            <v>Core</v>
          </cell>
          <cell r="E543" t="str">
            <v>Gold</v>
          </cell>
          <cell r="F543" t="str">
            <v>Gold Inline</v>
          </cell>
          <cell r="G543" t="str">
            <v>Core</v>
          </cell>
          <cell r="H543" t="str">
            <v>SG_02_01 Sun Glass Hut_Gold_OWNED</v>
          </cell>
          <cell r="I543" t="str">
            <v>0000005063 The Town Center of Virginia Be</v>
          </cell>
          <cell r="J543" t="str">
            <v>Gold Inline</v>
          </cell>
          <cell r="K543">
            <v>0</v>
          </cell>
        </row>
        <row r="544">
          <cell r="C544">
            <v>5066</v>
          </cell>
          <cell r="D544" t="str">
            <v>Core</v>
          </cell>
          <cell r="E544" t="str">
            <v>Gold</v>
          </cell>
          <cell r="F544" t="str">
            <v>Gold Kiosk</v>
          </cell>
          <cell r="G544" t="str">
            <v>Core</v>
          </cell>
          <cell r="H544" t="str">
            <v>SG_02_01 Sun Glass Hut_Gold_OWNED</v>
          </cell>
          <cell r="I544" t="str">
            <v>0000005066 Baltimore Washington Int'l Air</v>
          </cell>
          <cell r="J544" t="str">
            <v>Gold Kiosk</v>
          </cell>
          <cell r="K544">
            <v>0</v>
          </cell>
        </row>
        <row r="545">
          <cell r="C545">
            <v>5070</v>
          </cell>
          <cell r="D545" t="str">
            <v>Core</v>
          </cell>
          <cell r="E545" t="str">
            <v>Gold</v>
          </cell>
          <cell r="F545" t="str">
            <v>Gold Inline</v>
          </cell>
          <cell r="G545" t="str">
            <v>Core</v>
          </cell>
          <cell r="H545" t="str">
            <v>SG_02_01 Sun Glass Hut_Gold_OWNED</v>
          </cell>
          <cell r="I545" t="str">
            <v>0000005070 The Shops at Tanforan</v>
          </cell>
          <cell r="J545" t="str">
            <v>Gold Inline</v>
          </cell>
          <cell r="K545">
            <v>0</v>
          </cell>
        </row>
        <row r="546">
          <cell r="C546">
            <v>5075</v>
          </cell>
          <cell r="D546" t="str">
            <v>Core</v>
          </cell>
          <cell r="E546" t="str">
            <v>Gold</v>
          </cell>
          <cell r="F546" t="str">
            <v>Gold Inline</v>
          </cell>
          <cell r="G546" t="str">
            <v>Core</v>
          </cell>
          <cell r="H546" t="str">
            <v>SG_02_01 Sun Glass Hut_Gold_OWNED</v>
          </cell>
          <cell r="I546" t="str">
            <v>0000005075 Destiny USA</v>
          </cell>
          <cell r="J546" t="str">
            <v>Gold Inline</v>
          </cell>
          <cell r="K546">
            <v>0</v>
          </cell>
        </row>
        <row r="547">
          <cell r="C547">
            <v>5085</v>
          </cell>
          <cell r="D547" t="str">
            <v>Core</v>
          </cell>
          <cell r="E547" t="str">
            <v>Gold</v>
          </cell>
          <cell r="F547" t="str">
            <v>Gold Inline</v>
          </cell>
          <cell r="G547" t="str">
            <v>Core</v>
          </cell>
          <cell r="H547" t="str">
            <v>SG_02_01 Sun Glass Hut_Gold_OWNED</v>
          </cell>
          <cell r="I547" t="str">
            <v>0000005085 Valencia Town Center</v>
          </cell>
          <cell r="J547" t="str">
            <v>Gold Inline</v>
          </cell>
          <cell r="K547">
            <v>0</v>
          </cell>
        </row>
        <row r="548">
          <cell r="C548">
            <v>5087</v>
          </cell>
          <cell r="D548" t="str">
            <v>Core</v>
          </cell>
          <cell r="E548" t="str">
            <v>Gold</v>
          </cell>
          <cell r="F548" t="str">
            <v>Gold Kiosk</v>
          </cell>
          <cell r="G548" t="str">
            <v>Core</v>
          </cell>
          <cell r="H548" t="str">
            <v>SG_02_01 Sun Glass Hut_Gold_OWNED</v>
          </cell>
          <cell r="I548" t="str">
            <v>0000005087 SouthPark</v>
          </cell>
          <cell r="J548" t="str">
            <v>Gold Kiosk</v>
          </cell>
          <cell r="K548">
            <v>0</v>
          </cell>
        </row>
        <row r="549">
          <cell r="C549">
            <v>5088</v>
          </cell>
          <cell r="D549" t="str">
            <v>Core</v>
          </cell>
          <cell r="E549" t="str">
            <v>Gold</v>
          </cell>
          <cell r="F549" t="str">
            <v>Gold Inline</v>
          </cell>
          <cell r="G549" t="str">
            <v>Core</v>
          </cell>
          <cell r="H549" t="str">
            <v>SG_02_01 Sun Glass Hut_Gold_OWNED</v>
          </cell>
          <cell r="I549" t="str">
            <v>0000005088 The Mall in Columbia</v>
          </cell>
          <cell r="J549" t="str">
            <v>Gold Inline</v>
          </cell>
          <cell r="K549">
            <v>0</v>
          </cell>
        </row>
        <row r="550">
          <cell r="C550">
            <v>5089</v>
          </cell>
          <cell r="D550" t="str">
            <v>Core</v>
          </cell>
          <cell r="E550" t="str">
            <v>Gold</v>
          </cell>
          <cell r="F550" t="str">
            <v>Gold Kiosk</v>
          </cell>
          <cell r="G550" t="str">
            <v>Core</v>
          </cell>
          <cell r="H550" t="str">
            <v>SG_02_01 Sun Glass Hut_Gold_OWNED</v>
          </cell>
          <cell r="I550" t="str">
            <v>0000005089 Oakville Place</v>
          </cell>
          <cell r="J550" t="str">
            <v>Gold Kiosk</v>
          </cell>
          <cell r="K550">
            <v>0</v>
          </cell>
        </row>
        <row r="551">
          <cell r="C551">
            <v>5090</v>
          </cell>
          <cell r="D551" t="str">
            <v>Core</v>
          </cell>
          <cell r="E551" t="str">
            <v>Gold</v>
          </cell>
          <cell r="F551" t="str">
            <v>Gold Inline</v>
          </cell>
          <cell r="G551" t="str">
            <v>Core</v>
          </cell>
          <cell r="H551" t="str">
            <v>SG_02_01 Sun Glass Hut_Gold_OWNED</v>
          </cell>
          <cell r="I551" t="str">
            <v>0000005090 Conestoga Mall</v>
          </cell>
          <cell r="J551" t="str">
            <v>Gold Inline</v>
          </cell>
          <cell r="K551">
            <v>0</v>
          </cell>
        </row>
        <row r="552">
          <cell r="C552">
            <v>5092</v>
          </cell>
          <cell r="D552" t="str">
            <v>Core</v>
          </cell>
          <cell r="E552" t="str">
            <v>Gold</v>
          </cell>
          <cell r="F552" t="str">
            <v>Gold Inline</v>
          </cell>
          <cell r="G552" t="str">
            <v>Core</v>
          </cell>
          <cell r="H552" t="str">
            <v>SG_02_01 Sun Glass Hut_Gold_OWNED</v>
          </cell>
          <cell r="I552" t="str">
            <v>0000005092 The Gateway</v>
          </cell>
          <cell r="J552" t="str">
            <v>Gold Inline</v>
          </cell>
          <cell r="K552">
            <v>0</v>
          </cell>
        </row>
        <row r="553">
          <cell r="C553">
            <v>5093</v>
          </cell>
          <cell r="D553" t="str">
            <v>Core</v>
          </cell>
          <cell r="E553" t="str">
            <v>Gold</v>
          </cell>
          <cell r="F553" t="str">
            <v>Gold Inline</v>
          </cell>
          <cell r="G553" t="str">
            <v>Core</v>
          </cell>
          <cell r="H553" t="str">
            <v>SG_02_01 Sun Glass Hut_Gold_OWNED</v>
          </cell>
          <cell r="I553" t="str">
            <v>0000005093 Polaris Fashion Place</v>
          </cell>
          <cell r="J553" t="str">
            <v>Gold Inline</v>
          </cell>
          <cell r="K553">
            <v>0</v>
          </cell>
        </row>
        <row r="554">
          <cell r="C554">
            <v>5094</v>
          </cell>
          <cell r="D554" t="str">
            <v>Core</v>
          </cell>
          <cell r="E554" t="str">
            <v>Gold</v>
          </cell>
          <cell r="F554" t="str">
            <v>Gold Inline</v>
          </cell>
          <cell r="G554" t="str">
            <v>Core</v>
          </cell>
          <cell r="H554" t="str">
            <v>SG_02_01 Sun Glass Hut_Gold_OWNED</v>
          </cell>
          <cell r="I554" t="str">
            <v>0000005094 The Summit</v>
          </cell>
          <cell r="J554" t="str">
            <v>Gold Inline</v>
          </cell>
          <cell r="K554">
            <v>0</v>
          </cell>
        </row>
        <row r="555">
          <cell r="C555">
            <v>5095</v>
          </cell>
          <cell r="D555" t="str">
            <v>Core</v>
          </cell>
          <cell r="E555" t="str">
            <v>Gold</v>
          </cell>
          <cell r="F555" t="str">
            <v>Gold Inline</v>
          </cell>
          <cell r="G555" t="str">
            <v>Core</v>
          </cell>
          <cell r="H555" t="str">
            <v>SG_02_01 Sun Glass Hut_Gold_OWNED</v>
          </cell>
          <cell r="I555" t="str">
            <v>0000005095 Promenade Bolingbrook</v>
          </cell>
          <cell r="J555" t="str">
            <v>Gold Inline</v>
          </cell>
          <cell r="K555">
            <v>0</v>
          </cell>
        </row>
        <row r="556">
          <cell r="C556">
            <v>5099</v>
          </cell>
          <cell r="D556" t="str">
            <v>Core</v>
          </cell>
          <cell r="E556" t="str">
            <v>Gold</v>
          </cell>
          <cell r="F556" t="str">
            <v>Gold Inline</v>
          </cell>
          <cell r="G556" t="str">
            <v>Core</v>
          </cell>
          <cell r="H556" t="str">
            <v>SG_02_01 Sun Glass Hut_Gold_OWNED</v>
          </cell>
          <cell r="I556" t="str">
            <v>0000005099 Myrtle Beach Market Common</v>
          </cell>
          <cell r="J556" t="str">
            <v>Gold Inline</v>
          </cell>
          <cell r="K556">
            <v>0</v>
          </cell>
        </row>
        <row r="557">
          <cell r="C557">
            <v>5126</v>
          </cell>
          <cell r="D557" t="str">
            <v>Core</v>
          </cell>
          <cell r="E557" t="str">
            <v>Gold</v>
          </cell>
          <cell r="F557" t="str">
            <v>Gold Inline</v>
          </cell>
          <cell r="G557" t="str">
            <v>Core</v>
          </cell>
          <cell r="H557" t="str">
            <v>SG_02_01 Sun Glass Hut_Gold_OWNED</v>
          </cell>
          <cell r="I557" t="str">
            <v>0000005126 Willowbrook Mall</v>
          </cell>
          <cell r="J557" t="str">
            <v>Gold Inline</v>
          </cell>
          <cell r="K557">
            <v>0</v>
          </cell>
        </row>
        <row r="558">
          <cell r="C558">
            <v>5136</v>
          </cell>
          <cell r="D558" t="str">
            <v>Core</v>
          </cell>
          <cell r="E558" t="str">
            <v>Gold</v>
          </cell>
          <cell r="F558" t="str">
            <v>Gold Kiosk</v>
          </cell>
          <cell r="G558" t="str">
            <v>Core</v>
          </cell>
          <cell r="H558" t="str">
            <v>SG_02_01 Sun Glass Hut_Gold_OWNED</v>
          </cell>
          <cell r="I558" t="str">
            <v>0000005136 Pier 39</v>
          </cell>
          <cell r="J558" t="str">
            <v>Gold Kiosk</v>
          </cell>
          <cell r="K558">
            <v>0</v>
          </cell>
        </row>
        <row r="559">
          <cell r="C559">
            <v>5137</v>
          </cell>
          <cell r="D559" t="str">
            <v>Core</v>
          </cell>
          <cell r="E559" t="str">
            <v>Gold</v>
          </cell>
          <cell r="F559" t="str">
            <v>Gold Inline</v>
          </cell>
          <cell r="G559" t="str">
            <v>Core</v>
          </cell>
          <cell r="H559" t="str">
            <v>SG_02_01 Sun Glass Hut_Gold_OWNED</v>
          </cell>
          <cell r="I559" t="str">
            <v>0000005137 San Francisco Centre</v>
          </cell>
          <cell r="J559" t="str">
            <v>Gold Inline</v>
          </cell>
          <cell r="K559">
            <v>0</v>
          </cell>
        </row>
        <row r="560">
          <cell r="C560">
            <v>5140</v>
          </cell>
          <cell r="D560" t="str">
            <v>Core</v>
          </cell>
          <cell r="E560" t="str">
            <v>Gold</v>
          </cell>
          <cell r="F560" t="str">
            <v>Gold Inline</v>
          </cell>
          <cell r="G560" t="str">
            <v>Core</v>
          </cell>
          <cell r="H560" t="str">
            <v>SG_02_01 Sun Glass Hut_Gold_OWNED</v>
          </cell>
          <cell r="I560" t="str">
            <v>0000005140 State St</v>
          </cell>
          <cell r="J560" t="str">
            <v>Gold Inline</v>
          </cell>
          <cell r="K560">
            <v>0</v>
          </cell>
        </row>
        <row r="561">
          <cell r="C561">
            <v>5142</v>
          </cell>
          <cell r="D561" t="str">
            <v>Core</v>
          </cell>
          <cell r="E561" t="str">
            <v>Gold</v>
          </cell>
          <cell r="F561" t="str">
            <v>Gold Inline</v>
          </cell>
          <cell r="G561" t="str">
            <v>Core</v>
          </cell>
          <cell r="H561" t="str">
            <v>SG_02_01 Sun Glass Hut_Gold_OWNED</v>
          </cell>
          <cell r="I561" t="str">
            <v>0000005142 Westminster Mall</v>
          </cell>
          <cell r="J561" t="str">
            <v>Gold Inline</v>
          </cell>
          <cell r="K561">
            <v>0</v>
          </cell>
        </row>
        <row r="562">
          <cell r="C562">
            <v>5145</v>
          </cell>
          <cell r="D562" t="str">
            <v>Core</v>
          </cell>
          <cell r="E562" t="str">
            <v>Gold</v>
          </cell>
          <cell r="F562" t="str">
            <v>Gold Inline</v>
          </cell>
          <cell r="G562" t="str">
            <v>Core</v>
          </cell>
          <cell r="H562" t="str">
            <v>SG_02_01 Sun Glass Hut_Gold_OWNED</v>
          </cell>
          <cell r="I562" t="str">
            <v>0000005145 North County</v>
          </cell>
          <cell r="J562" t="str">
            <v>Gold Inline</v>
          </cell>
          <cell r="K562">
            <v>0</v>
          </cell>
        </row>
        <row r="563">
          <cell r="C563">
            <v>5150</v>
          </cell>
          <cell r="D563" t="str">
            <v>Core</v>
          </cell>
          <cell r="E563" t="str">
            <v>Gold</v>
          </cell>
          <cell r="F563" t="str">
            <v>Gold Kiosk</v>
          </cell>
          <cell r="G563" t="str">
            <v>Core</v>
          </cell>
          <cell r="H563" t="str">
            <v>SG_02_01 Sun Glass Hut_Gold_OWNED</v>
          </cell>
          <cell r="I563" t="str">
            <v>0000005150 Fashion Show Mall</v>
          </cell>
          <cell r="J563" t="str">
            <v>Gold Kiosk</v>
          </cell>
          <cell r="K563">
            <v>0</v>
          </cell>
        </row>
        <row r="564">
          <cell r="C564">
            <v>5151</v>
          </cell>
          <cell r="D564" t="str">
            <v>Core</v>
          </cell>
          <cell r="E564" t="str">
            <v>Gold</v>
          </cell>
          <cell r="F564" t="str">
            <v>Gold Kiosk</v>
          </cell>
          <cell r="G564" t="str">
            <v>Core</v>
          </cell>
          <cell r="H564" t="str">
            <v>SG_02_01 Sun Glass Hut_Gold_OWNED</v>
          </cell>
          <cell r="I564" t="str">
            <v>0000005151 Fashion Show Mall</v>
          </cell>
          <cell r="J564" t="str">
            <v>Gold Kiosk</v>
          </cell>
          <cell r="K564">
            <v>0</v>
          </cell>
        </row>
        <row r="565">
          <cell r="C565">
            <v>5169</v>
          </cell>
          <cell r="D565" t="str">
            <v>Core</v>
          </cell>
          <cell r="E565" t="str">
            <v>Gold</v>
          </cell>
          <cell r="F565" t="str">
            <v>Gold Inline</v>
          </cell>
          <cell r="G565" t="str">
            <v>Core</v>
          </cell>
          <cell r="H565" t="str">
            <v>SG_02_01 Sun Glass Hut_Gold_OWNED</v>
          </cell>
          <cell r="I565" t="str">
            <v>0000005169 Pioneer Place</v>
          </cell>
          <cell r="J565" t="str">
            <v>Gold Inline</v>
          </cell>
          <cell r="K565">
            <v>0</v>
          </cell>
        </row>
        <row r="566">
          <cell r="C566">
            <v>5171</v>
          </cell>
          <cell r="D566" t="str">
            <v>Core</v>
          </cell>
          <cell r="E566" t="str">
            <v>Gold</v>
          </cell>
          <cell r="F566" t="str">
            <v>Gold Kiosk</v>
          </cell>
          <cell r="G566" t="str">
            <v>Core</v>
          </cell>
          <cell r="H566" t="str">
            <v>SG_02_01 Sun Glass Hut_Gold_OWNED</v>
          </cell>
          <cell r="I566" t="str">
            <v>0000005171 Wheaton Plaza</v>
          </cell>
          <cell r="J566" t="str">
            <v>Gold Kiosk</v>
          </cell>
          <cell r="K566">
            <v>0</v>
          </cell>
        </row>
        <row r="567">
          <cell r="C567">
            <v>5172</v>
          </cell>
          <cell r="D567" t="str">
            <v>Core</v>
          </cell>
          <cell r="E567" t="str">
            <v>Gold</v>
          </cell>
          <cell r="F567" t="str">
            <v>Gold Inline</v>
          </cell>
          <cell r="G567" t="str">
            <v>Core</v>
          </cell>
          <cell r="H567" t="str">
            <v>SG_02_01 Sun Glass Hut_Gold_OWNED</v>
          </cell>
          <cell r="I567" t="str">
            <v>0000005172 Alamo Quarry Market</v>
          </cell>
          <cell r="J567" t="str">
            <v>Gold Inline</v>
          </cell>
          <cell r="K567">
            <v>0</v>
          </cell>
        </row>
        <row r="568">
          <cell r="C568">
            <v>5174</v>
          </cell>
          <cell r="D568" t="str">
            <v>Core</v>
          </cell>
          <cell r="E568" t="str">
            <v>Gold</v>
          </cell>
          <cell r="F568" t="str">
            <v>Gold Inline</v>
          </cell>
          <cell r="G568" t="str">
            <v>Core</v>
          </cell>
          <cell r="H568" t="str">
            <v>SG_02_01 Sun Glass Hut_Gold_OWNED</v>
          </cell>
          <cell r="I568" t="str">
            <v>0000005174 Otay Ranch Town Center</v>
          </cell>
          <cell r="J568" t="str">
            <v>Gold Inline</v>
          </cell>
          <cell r="K568">
            <v>0</v>
          </cell>
        </row>
        <row r="569">
          <cell r="C569">
            <v>5176</v>
          </cell>
          <cell r="D569" t="str">
            <v>Core</v>
          </cell>
          <cell r="E569" t="str">
            <v>Gold</v>
          </cell>
          <cell r="F569" t="str">
            <v>Gold Inline</v>
          </cell>
          <cell r="G569" t="str">
            <v>Core</v>
          </cell>
          <cell r="H569" t="str">
            <v>SG_02_01 Sun Glass Hut_Gold_OWNED</v>
          </cell>
          <cell r="I569" t="str">
            <v>0000005176 Burlingame Ave</v>
          </cell>
          <cell r="J569" t="str">
            <v>Gold Inline</v>
          </cell>
          <cell r="K569">
            <v>0</v>
          </cell>
        </row>
        <row r="570">
          <cell r="C570">
            <v>5182</v>
          </cell>
          <cell r="D570" t="str">
            <v>Core</v>
          </cell>
          <cell r="E570" t="str">
            <v>Gold</v>
          </cell>
          <cell r="F570" t="str">
            <v>Gold Inline</v>
          </cell>
          <cell r="G570" t="str">
            <v>Core</v>
          </cell>
          <cell r="H570" t="str">
            <v>SG_02_01 Sun Glass Hut_Gold_OWNED</v>
          </cell>
          <cell r="I570" t="str">
            <v>0000005182 SanTan Village</v>
          </cell>
          <cell r="J570" t="str">
            <v>Gold Inline</v>
          </cell>
          <cell r="K570">
            <v>0</v>
          </cell>
        </row>
        <row r="571">
          <cell r="C571">
            <v>5191</v>
          </cell>
          <cell r="D571" t="str">
            <v>Core</v>
          </cell>
          <cell r="E571" t="str">
            <v>Gold</v>
          </cell>
          <cell r="F571" t="str">
            <v>Gold Inline</v>
          </cell>
          <cell r="G571" t="str">
            <v>Core</v>
          </cell>
          <cell r="H571" t="str">
            <v>SG_02_01 Sun Glass Hut_Gold_OWNED</v>
          </cell>
          <cell r="I571" t="str">
            <v>0000005191 Birkdale Village</v>
          </cell>
          <cell r="J571" t="str">
            <v>Gold Inline</v>
          </cell>
          <cell r="K571">
            <v>0</v>
          </cell>
        </row>
        <row r="572">
          <cell r="C572">
            <v>5195</v>
          </cell>
          <cell r="D572" t="str">
            <v>Core</v>
          </cell>
          <cell r="E572" t="str">
            <v>Gold</v>
          </cell>
          <cell r="F572" t="str">
            <v>Gold Kiosk</v>
          </cell>
          <cell r="G572" t="str">
            <v>Core</v>
          </cell>
          <cell r="H572" t="str">
            <v>SG_02_01 Sun Glass Hut_Gold_OWNED</v>
          </cell>
          <cell r="I572" t="str">
            <v>0000005195 Queens Center</v>
          </cell>
          <cell r="J572" t="str">
            <v>Gold Kiosk</v>
          </cell>
          <cell r="K572">
            <v>0</v>
          </cell>
        </row>
        <row r="573">
          <cell r="C573">
            <v>5198</v>
          </cell>
          <cell r="D573" t="str">
            <v>Core</v>
          </cell>
          <cell r="E573" t="str">
            <v>Gold</v>
          </cell>
          <cell r="F573" t="str">
            <v>Gold Inline</v>
          </cell>
          <cell r="G573" t="str">
            <v>Core</v>
          </cell>
          <cell r="H573" t="str">
            <v>SG_02_01 Sun Glass Hut_Gold_OWNED</v>
          </cell>
          <cell r="I573" t="str">
            <v>0000005198 University Park Village</v>
          </cell>
          <cell r="J573" t="str">
            <v>Gold Inline</v>
          </cell>
          <cell r="K573">
            <v>0</v>
          </cell>
        </row>
        <row r="574">
          <cell r="C574">
            <v>5199</v>
          </cell>
          <cell r="D574" t="str">
            <v>Core</v>
          </cell>
          <cell r="E574" t="str">
            <v>Gold</v>
          </cell>
          <cell r="F574" t="str">
            <v>Gold Inline</v>
          </cell>
          <cell r="G574" t="str">
            <v>Core</v>
          </cell>
          <cell r="H574" t="str">
            <v>SG_02_01 Sun Glass Hut_Gold_OWNED</v>
          </cell>
          <cell r="I574" t="str">
            <v>0000005199 West Village</v>
          </cell>
          <cell r="J574" t="str">
            <v>Gold Inline</v>
          </cell>
          <cell r="K574">
            <v>0</v>
          </cell>
        </row>
        <row r="575">
          <cell r="C575">
            <v>5243</v>
          </cell>
          <cell r="D575" t="str">
            <v>Core</v>
          </cell>
          <cell r="E575" t="str">
            <v>Gold</v>
          </cell>
          <cell r="F575" t="str">
            <v>Gold Inline</v>
          </cell>
          <cell r="G575" t="str">
            <v>Core</v>
          </cell>
          <cell r="H575" t="str">
            <v>SG_02_01 Sun Glass Hut_Gold_OWNED</v>
          </cell>
          <cell r="I575" t="str">
            <v>0000005243 Coconut Point Town Center</v>
          </cell>
          <cell r="J575" t="str">
            <v>Gold Inline</v>
          </cell>
          <cell r="K575">
            <v>0</v>
          </cell>
        </row>
        <row r="576">
          <cell r="C576">
            <v>5248</v>
          </cell>
          <cell r="D576" t="str">
            <v>Core</v>
          </cell>
          <cell r="E576" t="str">
            <v>Gold</v>
          </cell>
          <cell r="F576" t="str">
            <v>Gold Inline</v>
          </cell>
          <cell r="G576" t="str">
            <v>Core</v>
          </cell>
          <cell r="H576" t="str">
            <v>SG_02_01 Sun Glass Hut_Gold_OWNED</v>
          </cell>
          <cell r="I576" t="str">
            <v>0000005248 Chesterfield Mall</v>
          </cell>
          <cell r="J576" t="str">
            <v>Gold Inline</v>
          </cell>
          <cell r="K576">
            <v>0</v>
          </cell>
        </row>
        <row r="577">
          <cell r="C577">
            <v>5254</v>
          </cell>
          <cell r="D577" t="str">
            <v>Core</v>
          </cell>
          <cell r="E577" t="str">
            <v>Gold</v>
          </cell>
          <cell r="F577" t="str">
            <v>Gold Inline</v>
          </cell>
          <cell r="G577" t="str">
            <v>Core</v>
          </cell>
          <cell r="H577" t="str">
            <v>SG_02_01 Sun Glass Hut_Gold_OWNED</v>
          </cell>
          <cell r="I577" t="str">
            <v>0000005254 Green Acres Mall</v>
          </cell>
          <cell r="J577" t="str">
            <v>Gold Inline</v>
          </cell>
          <cell r="K577">
            <v>0</v>
          </cell>
        </row>
        <row r="578">
          <cell r="C578">
            <v>5255</v>
          </cell>
          <cell r="D578" t="str">
            <v>Core</v>
          </cell>
          <cell r="E578" t="str">
            <v>Gold</v>
          </cell>
          <cell r="F578" t="str">
            <v>Gold Inline</v>
          </cell>
          <cell r="G578" t="str">
            <v>Core</v>
          </cell>
          <cell r="H578" t="str">
            <v>SG_02_01 Sun Glass Hut_Gold_OWNED</v>
          </cell>
          <cell r="I578" t="str">
            <v>0000005255 Crabtree Valley Mall</v>
          </cell>
          <cell r="J578" t="str">
            <v>Gold Inline</v>
          </cell>
          <cell r="K578">
            <v>0</v>
          </cell>
        </row>
        <row r="579">
          <cell r="C579">
            <v>5257</v>
          </cell>
          <cell r="D579" t="str">
            <v>Core</v>
          </cell>
          <cell r="E579" t="str">
            <v>Gold</v>
          </cell>
          <cell r="F579" t="str">
            <v>Gold Inline</v>
          </cell>
          <cell r="G579" t="str">
            <v>Core</v>
          </cell>
          <cell r="H579" t="str">
            <v>SG_02_01 Sun Glass Hut_Gold_OWNED</v>
          </cell>
          <cell r="I579" t="str">
            <v>0000005257 Franklin Park Mall</v>
          </cell>
          <cell r="J579" t="str">
            <v>Gold Inline</v>
          </cell>
          <cell r="K579">
            <v>0</v>
          </cell>
        </row>
        <row r="580">
          <cell r="C580">
            <v>5270</v>
          </cell>
          <cell r="D580" t="str">
            <v>Core</v>
          </cell>
          <cell r="E580" t="str">
            <v>Gold</v>
          </cell>
          <cell r="F580" t="str">
            <v>Gold Inline</v>
          </cell>
          <cell r="G580" t="str">
            <v>Core</v>
          </cell>
          <cell r="H580" t="str">
            <v>SG_02_01 Sun Glass Hut_Gold_OWNED</v>
          </cell>
          <cell r="I580" t="str">
            <v>0000005270 Mayfaire Town Center</v>
          </cell>
          <cell r="J580" t="str">
            <v>Gold Inline</v>
          </cell>
          <cell r="K580">
            <v>0</v>
          </cell>
        </row>
        <row r="581">
          <cell r="C581">
            <v>5273</v>
          </cell>
          <cell r="D581" t="str">
            <v>Core</v>
          </cell>
          <cell r="E581" t="str">
            <v>Gold</v>
          </cell>
          <cell r="F581" t="str">
            <v>Gold Inline</v>
          </cell>
          <cell r="G581" t="str">
            <v>Core</v>
          </cell>
          <cell r="H581" t="str">
            <v>SG_02_01 Sun Glass Hut_Gold_OWNED</v>
          </cell>
          <cell r="I581" t="str">
            <v>0000005273 Anchorage Square</v>
          </cell>
          <cell r="J581" t="str">
            <v>Gold Inline</v>
          </cell>
          <cell r="K581">
            <v>0</v>
          </cell>
        </row>
        <row r="582">
          <cell r="C582">
            <v>5281</v>
          </cell>
          <cell r="D582" t="str">
            <v>Core</v>
          </cell>
          <cell r="E582" t="str">
            <v>Gold</v>
          </cell>
          <cell r="F582" t="str">
            <v>Gold Inline</v>
          </cell>
          <cell r="G582" t="str">
            <v>Core</v>
          </cell>
          <cell r="H582" t="str">
            <v>SG_02_01 Sun Glass Hut_Gold_OWNED</v>
          </cell>
          <cell r="I582" t="str">
            <v>0000005281 Upper Westside at 79th</v>
          </cell>
          <cell r="J582" t="str">
            <v>Gold Inline</v>
          </cell>
          <cell r="K582">
            <v>0</v>
          </cell>
        </row>
        <row r="583">
          <cell r="C583">
            <v>5290</v>
          </cell>
          <cell r="D583" t="str">
            <v>Core</v>
          </cell>
          <cell r="E583" t="str">
            <v>Gold</v>
          </cell>
          <cell r="F583" t="str">
            <v>Gold Inline</v>
          </cell>
          <cell r="G583" t="str">
            <v>Core</v>
          </cell>
          <cell r="H583" t="str">
            <v>SG_02_01 Sun Glass Hut_Gold_OWNED</v>
          </cell>
          <cell r="I583" t="str">
            <v>0000005290 Mayaguez Mall</v>
          </cell>
          <cell r="J583" t="str">
            <v>Gold Inline</v>
          </cell>
          <cell r="K583">
            <v>0</v>
          </cell>
        </row>
        <row r="584">
          <cell r="C584">
            <v>5292</v>
          </cell>
          <cell r="D584" t="str">
            <v>Core</v>
          </cell>
          <cell r="E584" t="str">
            <v>Gold</v>
          </cell>
          <cell r="F584" t="str">
            <v>Gold Inline</v>
          </cell>
          <cell r="G584" t="str">
            <v>Core</v>
          </cell>
          <cell r="H584" t="str">
            <v>SG_02_01 Sun Glass Hut_Gold_OWNED</v>
          </cell>
          <cell r="I584" t="str">
            <v>0000005292 Short Pump Town Center</v>
          </cell>
          <cell r="J584" t="str">
            <v>Gold Inline</v>
          </cell>
          <cell r="K584">
            <v>0</v>
          </cell>
        </row>
        <row r="585">
          <cell r="C585">
            <v>5293</v>
          </cell>
          <cell r="D585" t="str">
            <v>Core</v>
          </cell>
          <cell r="E585" t="str">
            <v>Gold</v>
          </cell>
          <cell r="F585" t="str">
            <v>Gold Inline</v>
          </cell>
          <cell r="G585" t="str">
            <v>Core</v>
          </cell>
          <cell r="H585" t="str">
            <v>SG_02_01 Sun Glass Hut_Gold_OWNED</v>
          </cell>
          <cell r="I585" t="str">
            <v>0000005293 Chula Vista Center</v>
          </cell>
          <cell r="J585" t="str">
            <v>Gold Inline</v>
          </cell>
          <cell r="K585">
            <v>0</v>
          </cell>
        </row>
        <row r="586">
          <cell r="C586">
            <v>5294</v>
          </cell>
          <cell r="D586" t="str">
            <v>Core</v>
          </cell>
          <cell r="E586" t="str">
            <v>Gold</v>
          </cell>
          <cell r="F586" t="str">
            <v>Gold Inline</v>
          </cell>
          <cell r="G586" t="str">
            <v>Core</v>
          </cell>
          <cell r="H586" t="str">
            <v>SG_02_01 Sun Glass Hut_Gold_OWNED</v>
          </cell>
          <cell r="I586" t="str">
            <v>0000005294 Mall Of Georgia</v>
          </cell>
          <cell r="J586" t="str">
            <v>Gold Inline</v>
          </cell>
          <cell r="K586">
            <v>0</v>
          </cell>
        </row>
        <row r="587">
          <cell r="C587">
            <v>5295</v>
          </cell>
          <cell r="D587" t="str">
            <v>Core</v>
          </cell>
          <cell r="E587" t="str">
            <v>Gold</v>
          </cell>
          <cell r="F587" t="str">
            <v>Gold Inline</v>
          </cell>
          <cell r="G587" t="str">
            <v>Core</v>
          </cell>
          <cell r="H587" t="str">
            <v>SG_02_01 Sun Glass Hut_Gold_OWNED</v>
          </cell>
          <cell r="I587" t="str">
            <v>0000005295 Westside Pavilion</v>
          </cell>
          <cell r="J587" t="str">
            <v>Gold Inline</v>
          </cell>
          <cell r="K587">
            <v>0</v>
          </cell>
        </row>
        <row r="588">
          <cell r="C588">
            <v>5300</v>
          </cell>
          <cell r="D588" t="str">
            <v>Core</v>
          </cell>
          <cell r="E588" t="str">
            <v>Gold</v>
          </cell>
          <cell r="F588" t="str">
            <v>Gold Inline</v>
          </cell>
          <cell r="G588" t="str">
            <v>Core</v>
          </cell>
          <cell r="H588" t="str">
            <v>SG_02_01 Sun Glass Hut_Gold_OWNED</v>
          </cell>
          <cell r="I588" t="str">
            <v>0000005300 The Greene</v>
          </cell>
          <cell r="J588" t="str">
            <v>Gold Inline</v>
          </cell>
          <cell r="K588">
            <v>0</v>
          </cell>
        </row>
        <row r="589">
          <cell r="C589">
            <v>5304</v>
          </cell>
          <cell r="D589" t="str">
            <v>Core</v>
          </cell>
          <cell r="E589" t="str">
            <v>Gold</v>
          </cell>
          <cell r="F589" t="str">
            <v>Gold Inline</v>
          </cell>
          <cell r="G589" t="str">
            <v>Core</v>
          </cell>
          <cell r="H589" t="str">
            <v>SG_02_01 Sun Glass Hut_Gold_OWNED</v>
          </cell>
          <cell r="I589" t="str">
            <v>0000005304 Highland Village</v>
          </cell>
          <cell r="J589" t="str">
            <v>Gold Inline</v>
          </cell>
          <cell r="K589">
            <v>0</v>
          </cell>
        </row>
        <row r="590">
          <cell r="C590">
            <v>5306</v>
          </cell>
          <cell r="D590" t="str">
            <v>Core</v>
          </cell>
          <cell r="E590" t="str">
            <v>Gold</v>
          </cell>
          <cell r="F590" t="str">
            <v>Gold Inline</v>
          </cell>
          <cell r="G590" t="str">
            <v>Core</v>
          </cell>
          <cell r="H590" t="str">
            <v>SG_02_01 Sun Glass Hut_Gold_OWNED</v>
          </cell>
          <cell r="I590" t="str">
            <v>0000005306 Watters Creek at Montgomery Fa</v>
          </cell>
          <cell r="J590" t="str">
            <v>Gold Inline</v>
          </cell>
          <cell r="K590">
            <v>0</v>
          </cell>
        </row>
        <row r="591">
          <cell r="C591">
            <v>5307</v>
          </cell>
          <cell r="D591" t="str">
            <v>Core</v>
          </cell>
          <cell r="E591" t="str">
            <v>Gold</v>
          </cell>
          <cell r="F591" t="str">
            <v>Gold Inline</v>
          </cell>
          <cell r="G591" t="str">
            <v>Core</v>
          </cell>
          <cell r="H591" t="str">
            <v>SG_02_01 Sun Glass Hut_Gold_OWNED</v>
          </cell>
          <cell r="I591" t="str">
            <v>0000005307 Boston Logan Int'l Airport</v>
          </cell>
          <cell r="J591" t="str">
            <v>Gold Inline</v>
          </cell>
          <cell r="K591">
            <v>0</v>
          </cell>
        </row>
        <row r="592">
          <cell r="C592">
            <v>5309</v>
          </cell>
          <cell r="D592" t="str">
            <v>Core</v>
          </cell>
          <cell r="E592" t="str">
            <v>Gold</v>
          </cell>
          <cell r="F592" t="str">
            <v>Gold Inline</v>
          </cell>
          <cell r="G592" t="str">
            <v>Core</v>
          </cell>
          <cell r="H592" t="str">
            <v>SG_02_01 Sun Glass Hut_Gold_OWNED</v>
          </cell>
          <cell r="I592" t="str">
            <v>0000005309 The Shoppes At North Brunswick</v>
          </cell>
          <cell r="J592" t="str">
            <v>Gold Inline</v>
          </cell>
          <cell r="K592">
            <v>0</v>
          </cell>
        </row>
        <row r="593">
          <cell r="C593">
            <v>5316</v>
          </cell>
          <cell r="D593" t="str">
            <v>Core</v>
          </cell>
          <cell r="E593" t="str">
            <v>Gold</v>
          </cell>
          <cell r="F593" t="str">
            <v>Gold Inline</v>
          </cell>
          <cell r="G593" t="str">
            <v>Core</v>
          </cell>
          <cell r="H593" t="str">
            <v>SG_02_01 Sun Glass Hut_Gold_OWNED</v>
          </cell>
          <cell r="I593" t="str">
            <v>0000005316 Pine Centre Mall</v>
          </cell>
          <cell r="J593" t="str">
            <v>Gold Inline</v>
          </cell>
          <cell r="K593">
            <v>0</v>
          </cell>
        </row>
        <row r="594">
          <cell r="C594">
            <v>5319</v>
          </cell>
          <cell r="D594" t="str">
            <v>Core</v>
          </cell>
          <cell r="E594" t="str">
            <v>Gold</v>
          </cell>
          <cell r="F594" t="str">
            <v>Gold Kiosk</v>
          </cell>
          <cell r="G594" t="str">
            <v>Core</v>
          </cell>
          <cell r="H594" t="str">
            <v>SG_02_01 Sun Glass Hut_Gold_OWNED</v>
          </cell>
          <cell r="I594" t="str">
            <v>0000005319 Monteal-Pierre Elliott Trudeau</v>
          </cell>
          <cell r="J594" t="str">
            <v>Gold Kiosk</v>
          </cell>
          <cell r="K594">
            <v>0</v>
          </cell>
        </row>
        <row r="595">
          <cell r="C595">
            <v>5321</v>
          </cell>
          <cell r="D595" t="str">
            <v>Core</v>
          </cell>
          <cell r="E595" t="str">
            <v>Gold</v>
          </cell>
          <cell r="F595" t="str">
            <v>Gold Inline</v>
          </cell>
          <cell r="G595" t="str">
            <v>Core</v>
          </cell>
          <cell r="H595" t="str">
            <v>SG_02_01 Sun Glass Hut_Gold_OWNED</v>
          </cell>
          <cell r="I595" t="str">
            <v>0000005321 Mizner Park</v>
          </cell>
          <cell r="J595" t="str">
            <v>Gold Inline</v>
          </cell>
          <cell r="K595">
            <v>0</v>
          </cell>
        </row>
        <row r="596">
          <cell r="C596">
            <v>5330</v>
          </cell>
          <cell r="D596" t="str">
            <v>Core</v>
          </cell>
          <cell r="E596" t="str">
            <v>Gold</v>
          </cell>
          <cell r="F596" t="str">
            <v>Gold Inline</v>
          </cell>
          <cell r="G596" t="str">
            <v>Core</v>
          </cell>
          <cell r="H596" t="str">
            <v>SG_02_01 Sun Glass Hut_Gold_OWNED</v>
          </cell>
          <cell r="I596" t="str">
            <v>0000005330 The Mall at Partridge Creek</v>
          </cell>
          <cell r="J596" t="str">
            <v>Gold Inline</v>
          </cell>
          <cell r="K596">
            <v>0</v>
          </cell>
        </row>
        <row r="597">
          <cell r="C597">
            <v>5333</v>
          </cell>
          <cell r="D597" t="str">
            <v>Core</v>
          </cell>
          <cell r="E597" t="str">
            <v>Gold</v>
          </cell>
          <cell r="F597" t="str">
            <v>Gold Inline</v>
          </cell>
          <cell r="G597" t="str">
            <v>Core</v>
          </cell>
          <cell r="H597" t="str">
            <v>SG_02_01 Sun Glass Hut_Gold_OWNED</v>
          </cell>
          <cell r="I597" t="str">
            <v>0000005333 The Streets of Indian Lake</v>
          </cell>
          <cell r="J597" t="str">
            <v>Gold Inline</v>
          </cell>
          <cell r="K597">
            <v>0</v>
          </cell>
        </row>
        <row r="598">
          <cell r="C598">
            <v>5334</v>
          </cell>
          <cell r="D598" t="str">
            <v>Core</v>
          </cell>
          <cell r="E598" t="str">
            <v>Gold</v>
          </cell>
          <cell r="F598" t="str">
            <v>Gold Inline</v>
          </cell>
          <cell r="G598" t="str">
            <v>Core</v>
          </cell>
          <cell r="H598" t="str">
            <v>SG_02_01 Sun Glass Hut_Gold_OWNED</v>
          </cell>
          <cell r="I598" t="str">
            <v>0000005334 The Shops At Norterra</v>
          </cell>
          <cell r="J598" t="str">
            <v>Gold Inline</v>
          </cell>
          <cell r="K598">
            <v>0</v>
          </cell>
        </row>
        <row r="599">
          <cell r="C599">
            <v>5336</v>
          </cell>
          <cell r="D599" t="str">
            <v>Core</v>
          </cell>
          <cell r="E599" t="str">
            <v>Gold</v>
          </cell>
          <cell r="F599" t="str">
            <v>Gold Inline</v>
          </cell>
          <cell r="G599" t="str">
            <v>Core</v>
          </cell>
          <cell r="H599" t="str">
            <v>SG_02_01 Sun Glass Hut_Gold_OWNED</v>
          </cell>
          <cell r="I599" t="str">
            <v>0000005336 Bellevue Square</v>
          </cell>
          <cell r="J599" t="str">
            <v>Gold Inline</v>
          </cell>
          <cell r="K599">
            <v>0</v>
          </cell>
        </row>
        <row r="600">
          <cell r="C600">
            <v>5338</v>
          </cell>
          <cell r="D600" t="str">
            <v>Core</v>
          </cell>
          <cell r="E600" t="str">
            <v>Gold</v>
          </cell>
          <cell r="F600" t="str">
            <v>Gold Inline</v>
          </cell>
          <cell r="G600" t="str">
            <v>Core</v>
          </cell>
          <cell r="H600" t="str">
            <v>SG_02_01 Sun Glass Hut_Gold_OWNED</v>
          </cell>
          <cell r="I600" t="str">
            <v>0000005338 Del Mar Plaza</v>
          </cell>
          <cell r="J600" t="str">
            <v>Gold Inline</v>
          </cell>
          <cell r="K600">
            <v>0</v>
          </cell>
        </row>
        <row r="601">
          <cell r="C601">
            <v>5344</v>
          </cell>
          <cell r="D601" t="str">
            <v>Core</v>
          </cell>
          <cell r="E601" t="str">
            <v>Gold</v>
          </cell>
          <cell r="F601" t="str">
            <v>Gold Inline</v>
          </cell>
          <cell r="G601" t="str">
            <v>Core</v>
          </cell>
          <cell r="H601" t="str">
            <v>SG_02_01 Sun Glass Hut_Gold_OWNED</v>
          </cell>
          <cell r="I601" t="str">
            <v>0000005344 Hyatt Regency Waikiki</v>
          </cell>
          <cell r="J601" t="str">
            <v>Gold Inline</v>
          </cell>
          <cell r="K601">
            <v>0</v>
          </cell>
        </row>
        <row r="602">
          <cell r="C602">
            <v>5345</v>
          </cell>
          <cell r="D602" t="str">
            <v>Core</v>
          </cell>
          <cell r="E602" t="str">
            <v>Gold</v>
          </cell>
          <cell r="F602" t="str">
            <v>Gold Inline</v>
          </cell>
          <cell r="G602" t="str">
            <v>Core</v>
          </cell>
          <cell r="H602" t="str">
            <v>SG_02_01 Sun Glass Hut_Gold_OWNED</v>
          </cell>
          <cell r="I602" t="str">
            <v>0000005345 Kona Marketplace</v>
          </cell>
          <cell r="J602" t="str">
            <v>Gold Inline</v>
          </cell>
          <cell r="K602">
            <v>0</v>
          </cell>
        </row>
        <row r="603">
          <cell r="C603">
            <v>5346</v>
          </cell>
          <cell r="D603" t="str">
            <v>Core</v>
          </cell>
          <cell r="E603" t="str">
            <v>Gold</v>
          </cell>
          <cell r="F603" t="str">
            <v>Gold Inline</v>
          </cell>
          <cell r="G603" t="str">
            <v>Core</v>
          </cell>
          <cell r="H603" t="str">
            <v>SG_02_01 Sun Glass Hut_Gold_OWNED</v>
          </cell>
          <cell r="I603" t="str">
            <v>0000005346 The Shops at Kukui'ula</v>
          </cell>
          <cell r="J603" t="str">
            <v>Gold Inline</v>
          </cell>
          <cell r="K603">
            <v>0</v>
          </cell>
        </row>
        <row r="604">
          <cell r="C604">
            <v>5349</v>
          </cell>
          <cell r="D604" t="str">
            <v>Core</v>
          </cell>
          <cell r="E604" t="str">
            <v>Gold</v>
          </cell>
          <cell r="F604" t="str">
            <v>Gold Inline</v>
          </cell>
          <cell r="G604" t="str">
            <v>Core</v>
          </cell>
          <cell r="H604" t="str">
            <v>SG_02_01 Sun Glass Hut_Gold_OWNED</v>
          </cell>
          <cell r="I604" t="str">
            <v>0000005349 The Shops At Wiregrass</v>
          </cell>
          <cell r="J604" t="str">
            <v>Gold Inline</v>
          </cell>
          <cell r="K604">
            <v>0</v>
          </cell>
        </row>
        <row r="605">
          <cell r="C605">
            <v>5356</v>
          </cell>
          <cell r="D605" t="str">
            <v>Core</v>
          </cell>
          <cell r="E605" t="str">
            <v>Gold</v>
          </cell>
          <cell r="F605" t="str">
            <v>Gold Inline</v>
          </cell>
          <cell r="G605" t="str">
            <v>Core</v>
          </cell>
          <cell r="H605" t="str">
            <v>SG_02_01 Sun Glass Hut_Gold_OWNED</v>
          </cell>
          <cell r="I605" t="str">
            <v>0000005356 Northshore Mall</v>
          </cell>
          <cell r="J605" t="str">
            <v>Gold Inline</v>
          </cell>
          <cell r="K605">
            <v>0</v>
          </cell>
        </row>
        <row r="606">
          <cell r="C606">
            <v>5360</v>
          </cell>
          <cell r="D606" t="str">
            <v>Core</v>
          </cell>
          <cell r="E606" t="str">
            <v>Gold</v>
          </cell>
          <cell r="F606" t="str">
            <v>Gold Inline</v>
          </cell>
          <cell r="G606" t="str">
            <v>Core</v>
          </cell>
          <cell r="H606" t="str">
            <v>SG_02_01 Sun Glass Hut_Gold_OWNED</v>
          </cell>
          <cell r="I606" t="str">
            <v>0000005360 The Promenade at Coconut Creek</v>
          </cell>
          <cell r="J606" t="str">
            <v>Gold Inline</v>
          </cell>
          <cell r="K606">
            <v>0</v>
          </cell>
        </row>
        <row r="607">
          <cell r="C607">
            <v>5361</v>
          </cell>
          <cell r="D607" t="str">
            <v>Core</v>
          </cell>
          <cell r="E607" t="str">
            <v>Gold</v>
          </cell>
          <cell r="F607" t="str">
            <v>Gold Inline</v>
          </cell>
          <cell r="G607" t="str">
            <v>Core</v>
          </cell>
          <cell r="H607" t="str">
            <v>SG_02_01 Sun Glass Hut_Gold_OWNED</v>
          </cell>
          <cell r="I607" t="str">
            <v>0000005361 Hamilton Town Center</v>
          </cell>
          <cell r="J607" t="str">
            <v>Gold Inline</v>
          </cell>
          <cell r="K607">
            <v>0</v>
          </cell>
        </row>
        <row r="608">
          <cell r="C608">
            <v>5362</v>
          </cell>
          <cell r="D608" t="str">
            <v>Core</v>
          </cell>
          <cell r="E608" t="str">
            <v>Gold</v>
          </cell>
          <cell r="F608" t="str">
            <v>Gold Inline</v>
          </cell>
          <cell r="G608" t="str">
            <v>Core</v>
          </cell>
          <cell r="H608" t="str">
            <v>SG_02_01 Sun Glass Hut_Gold_OWNED</v>
          </cell>
          <cell r="I608" t="str">
            <v>0000005362 The Avenue Forsyth</v>
          </cell>
          <cell r="J608" t="str">
            <v>Gold Inline</v>
          </cell>
          <cell r="K608">
            <v>0</v>
          </cell>
        </row>
        <row r="609">
          <cell r="C609">
            <v>5363</v>
          </cell>
          <cell r="D609" t="str">
            <v>Core</v>
          </cell>
          <cell r="E609" t="str">
            <v>Gold</v>
          </cell>
          <cell r="F609" t="str">
            <v>Gold Inline</v>
          </cell>
          <cell r="G609" t="str">
            <v>Core</v>
          </cell>
          <cell r="H609" t="str">
            <v>SG_02_01 Sun Glass Hut_Gold_OWNED</v>
          </cell>
          <cell r="I609" t="str">
            <v>0000005363 Pearland Town Center</v>
          </cell>
          <cell r="J609" t="str">
            <v>Gold Inline</v>
          </cell>
          <cell r="K609">
            <v>0</v>
          </cell>
        </row>
        <row r="610">
          <cell r="C610">
            <v>5365</v>
          </cell>
          <cell r="D610" t="str">
            <v>Core</v>
          </cell>
          <cell r="E610" t="str">
            <v>Gold</v>
          </cell>
          <cell r="F610" t="str">
            <v>Gold Inline</v>
          </cell>
          <cell r="G610" t="str">
            <v>Core</v>
          </cell>
          <cell r="H610" t="str">
            <v>SG_02_01 Sun Glass Hut_Gold_OWNED</v>
          </cell>
          <cell r="I610" t="str">
            <v>0000005365 Plaza Bonita</v>
          </cell>
          <cell r="J610" t="str">
            <v>Gold Inline</v>
          </cell>
          <cell r="K610">
            <v>0</v>
          </cell>
        </row>
        <row r="611">
          <cell r="C611">
            <v>5366</v>
          </cell>
          <cell r="D611" t="str">
            <v>Core</v>
          </cell>
          <cell r="E611" t="str">
            <v>Gold</v>
          </cell>
          <cell r="F611" t="str">
            <v>Gold Inline</v>
          </cell>
          <cell r="G611" t="str">
            <v>Core</v>
          </cell>
          <cell r="H611" t="str">
            <v>SG_02_01 Sun Glass Hut_Gold_OWNED</v>
          </cell>
          <cell r="I611" t="str">
            <v>0000005366 The Loop</v>
          </cell>
          <cell r="J611" t="str">
            <v>Gold Inline</v>
          </cell>
          <cell r="K611">
            <v>0</v>
          </cell>
        </row>
        <row r="612">
          <cell r="C612">
            <v>5367</v>
          </cell>
          <cell r="D612" t="str">
            <v>Core</v>
          </cell>
          <cell r="E612" t="str">
            <v>Gold</v>
          </cell>
          <cell r="F612" t="str">
            <v>Gold Inline</v>
          </cell>
          <cell r="G612" t="str">
            <v>Core</v>
          </cell>
          <cell r="H612" t="str">
            <v>SG_02_01 Sun Glass Hut_Gold_OWNED</v>
          </cell>
          <cell r="I612" t="str">
            <v>0000005367 The Orchard Town Center</v>
          </cell>
          <cell r="J612" t="str">
            <v>Gold Inline</v>
          </cell>
          <cell r="K612">
            <v>0</v>
          </cell>
        </row>
        <row r="613">
          <cell r="C613">
            <v>5369</v>
          </cell>
          <cell r="D613" t="str">
            <v>Core</v>
          </cell>
          <cell r="E613" t="str">
            <v>Gold</v>
          </cell>
          <cell r="F613" t="str">
            <v>Gold Inline</v>
          </cell>
          <cell r="G613" t="str">
            <v>Core</v>
          </cell>
          <cell r="H613" t="str">
            <v>SG_02_01 Sun Glass Hut_Gold_OWNED</v>
          </cell>
          <cell r="I613" t="str">
            <v>0000005369 Ocean Walk Shoppes</v>
          </cell>
          <cell r="J613" t="str">
            <v>Gold Inline</v>
          </cell>
          <cell r="K613">
            <v>0</v>
          </cell>
        </row>
        <row r="614">
          <cell r="C614">
            <v>5372</v>
          </cell>
          <cell r="D614" t="str">
            <v>Core</v>
          </cell>
          <cell r="E614" t="str">
            <v>Gold</v>
          </cell>
          <cell r="F614" t="str">
            <v>Gold Kiosk</v>
          </cell>
          <cell r="G614" t="str">
            <v>Core</v>
          </cell>
          <cell r="H614" t="str">
            <v>SG_02_01 Sun Glass Hut_Gold_OWNED</v>
          </cell>
          <cell r="I614" t="str">
            <v>0000005372 Las Catalinas Mall</v>
          </cell>
          <cell r="J614" t="str">
            <v>Gold Kiosk</v>
          </cell>
          <cell r="K614">
            <v>0</v>
          </cell>
        </row>
        <row r="615">
          <cell r="C615">
            <v>5374</v>
          </cell>
          <cell r="D615" t="str">
            <v>Core</v>
          </cell>
          <cell r="E615" t="str">
            <v>Gold</v>
          </cell>
          <cell r="F615" t="str">
            <v>Gold Inline</v>
          </cell>
          <cell r="G615" t="str">
            <v>Core</v>
          </cell>
          <cell r="H615" t="str">
            <v>SG_02_01 Sun Glass Hut_Gold_OWNED</v>
          </cell>
          <cell r="I615" t="str">
            <v>0000005374 Burr Ridge Village Center</v>
          </cell>
          <cell r="J615" t="str">
            <v>Gold Inline</v>
          </cell>
          <cell r="K615">
            <v>0</v>
          </cell>
        </row>
        <row r="616">
          <cell r="C616">
            <v>5375</v>
          </cell>
          <cell r="D616" t="str">
            <v>Core</v>
          </cell>
          <cell r="E616" t="str">
            <v>Gold</v>
          </cell>
          <cell r="F616" t="str">
            <v>Gold Inline</v>
          </cell>
          <cell r="G616" t="str">
            <v>Core</v>
          </cell>
          <cell r="H616" t="str">
            <v>SG_02_01 Sun Glass Hut_Gold_OWNED</v>
          </cell>
          <cell r="I616" t="str">
            <v>0000005375 Mockingbird Station</v>
          </cell>
          <cell r="J616" t="str">
            <v>Gold Inline</v>
          </cell>
          <cell r="K616">
            <v>0</v>
          </cell>
        </row>
        <row r="617">
          <cell r="C617">
            <v>5376</v>
          </cell>
          <cell r="D617" t="str">
            <v>Core</v>
          </cell>
          <cell r="E617" t="str">
            <v>Gold</v>
          </cell>
          <cell r="F617" t="str">
            <v>Gold Inline</v>
          </cell>
          <cell r="G617" t="str">
            <v>Core</v>
          </cell>
          <cell r="H617" t="str">
            <v>SG_02_01 Sun Glass Hut_Gold_OWNED</v>
          </cell>
          <cell r="I617" t="str">
            <v>0000005376 Cataraqui Town Center</v>
          </cell>
          <cell r="J617" t="str">
            <v>Gold Inline</v>
          </cell>
          <cell r="K617">
            <v>0</v>
          </cell>
        </row>
        <row r="618">
          <cell r="C618">
            <v>5530</v>
          </cell>
          <cell r="D618" t="str">
            <v>Core</v>
          </cell>
          <cell r="E618" t="str">
            <v>Gold</v>
          </cell>
          <cell r="F618" t="str">
            <v>Gold Kiosk</v>
          </cell>
          <cell r="G618" t="str">
            <v>Core</v>
          </cell>
          <cell r="H618" t="str">
            <v>SG_02_01 Sun Glass Hut_Gold_OWNED</v>
          </cell>
          <cell r="I618" t="str">
            <v>0000005530 Chicago O'Hare Int'l Airport</v>
          </cell>
          <cell r="J618" t="str">
            <v>Gold Kiosk</v>
          </cell>
          <cell r="K618">
            <v>0</v>
          </cell>
        </row>
        <row r="619">
          <cell r="C619">
            <v>5533</v>
          </cell>
          <cell r="D619" t="str">
            <v>Core</v>
          </cell>
          <cell r="E619" t="str">
            <v>Gold</v>
          </cell>
          <cell r="F619" t="str">
            <v>Gold Inline</v>
          </cell>
          <cell r="G619" t="str">
            <v>Core</v>
          </cell>
          <cell r="H619" t="str">
            <v>SG_02_01 Sun Glass Hut_Gold_OWNED</v>
          </cell>
          <cell r="I619" t="str">
            <v>0000005533 The Ave Murfreesboro</v>
          </cell>
          <cell r="J619" t="str">
            <v>Gold Inline</v>
          </cell>
          <cell r="K619">
            <v>0</v>
          </cell>
        </row>
        <row r="620">
          <cell r="C620">
            <v>5535</v>
          </cell>
          <cell r="D620" t="str">
            <v>Core</v>
          </cell>
          <cell r="E620" t="str">
            <v>Gold</v>
          </cell>
          <cell r="F620" t="str">
            <v>Gold Inline</v>
          </cell>
          <cell r="G620" t="str">
            <v>Core</v>
          </cell>
          <cell r="H620" t="str">
            <v>SG_02_01 Sun Glass Hut_Gold_OWNED</v>
          </cell>
          <cell r="I620" t="str">
            <v>0000005535 Hill Country Galleria</v>
          </cell>
          <cell r="J620" t="str">
            <v>Gold Inline</v>
          </cell>
          <cell r="K620">
            <v>0</v>
          </cell>
        </row>
        <row r="621">
          <cell r="C621">
            <v>5536</v>
          </cell>
          <cell r="D621" t="str">
            <v>Core</v>
          </cell>
          <cell r="E621" t="str">
            <v>Gold</v>
          </cell>
          <cell r="F621" t="str">
            <v>Gold Inline</v>
          </cell>
          <cell r="G621" t="str">
            <v>Core</v>
          </cell>
          <cell r="H621" t="str">
            <v>SG_02_01 Sun Glass Hut_Gold_OWNED</v>
          </cell>
          <cell r="I621" t="str">
            <v>0000005536 S Main St</v>
          </cell>
          <cell r="J621" t="str">
            <v>Gold Inline</v>
          </cell>
          <cell r="K621">
            <v>0</v>
          </cell>
        </row>
        <row r="622">
          <cell r="C622">
            <v>5537</v>
          </cell>
          <cell r="D622" t="str">
            <v>Core</v>
          </cell>
          <cell r="E622" t="str">
            <v>Gold</v>
          </cell>
          <cell r="F622" t="str">
            <v>Gold Inline</v>
          </cell>
          <cell r="G622" t="str">
            <v>Core</v>
          </cell>
          <cell r="H622" t="str">
            <v>SG_02_01 Sun Glass Hut_Gold_OWNED</v>
          </cell>
          <cell r="I622" t="str">
            <v>0000005537 E Atlantic Ave</v>
          </cell>
          <cell r="J622" t="str">
            <v>Gold Inline</v>
          </cell>
          <cell r="K622">
            <v>0</v>
          </cell>
        </row>
        <row r="623">
          <cell r="C623">
            <v>5540</v>
          </cell>
          <cell r="D623" t="str">
            <v>Core</v>
          </cell>
          <cell r="E623" t="str">
            <v>Gold</v>
          </cell>
          <cell r="F623" t="str">
            <v>Gold Inline</v>
          </cell>
          <cell r="G623" t="str">
            <v>Core</v>
          </cell>
          <cell r="H623" t="str">
            <v>SG_02_01 Sun Glass Hut_Gold_OWNED</v>
          </cell>
          <cell r="I623" t="str">
            <v>0000005540 The Shoppes At Chino Hills</v>
          </cell>
          <cell r="J623" t="str">
            <v>Gold Inline</v>
          </cell>
          <cell r="K623">
            <v>0</v>
          </cell>
        </row>
        <row r="624">
          <cell r="C624">
            <v>5541</v>
          </cell>
          <cell r="D624" t="str">
            <v>Core</v>
          </cell>
          <cell r="E624" t="str">
            <v>Gold</v>
          </cell>
          <cell r="F624" t="str">
            <v>Gold Inline</v>
          </cell>
          <cell r="G624" t="str">
            <v>Core</v>
          </cell>
          <cell r="H624" t="str">
            <v>SG_02_01 Sun Glass Hut_Gold_OWNED</v>
          </cell>
          <cell r="I624" t="str">
            <v>0000005541 Pier Park</v>
          </cell>
          <cell r="J624" t="str">
            <v>Gold Inline</v>
          </cell>
          <cell r="K624">
            <v>0</v>
          </cell>
        </row>
        <row r="625">
          <cell r="C625">
            <v>5546</v>
          </cell>
          <cell r="D625" t="str">
            <v>Core</v>
          </cell>
          <cell r="E625" t="str">
            <v>Gold</v>
          </cell>
          <cell r="F625" t="str">
            <v>Gold Inline</v>
          </cell>
          <cell r="G625" t="str">
            <v>Core</v>
          </cell>
          <cell r="H625" t="str">
            <v>SG_02_01 Sun Glass Hut_Gold_OWNED</v>
          </cell>
          <cell r="I625" t="str">
            <v>0000005546 The Shops at Mauna Lani</v>
          </cell>
          <cell r="J625" t="str">
            <v>Gold Inline</v>
          </cell>
          <cell r="K625">
            <v>0</v>
          </cell>
        </row>
        <row r="626">
          <cell r="C626">
            <v>5550</v>
          </cell>
          <cell r="D626" t="str">
            <v>Core</v>
          </cell>
          <cell r="E626" t="str">
            <v>Gold</v>
          </cell>
          <cell r="F626" t="str">
            <v>Gold Inline</v>
          </cell>
          <cell r="G626" t="str">
            <v>Core</v>
          </cell>
          <cell r="H626" t="str">
            <v>SG_02_01 Sun Glass Hut_Gold_OWNED</v>
          </cell>
          <cell r="I626" t="str">
            <v>0000005550 The Shoppes at River Crossing</v>
          </cell>
          <cell r="J626" t="str">
            <v>Gold Inline</v>
          </cell>
          <cell r="K626">
            <v>0</v>
          </cell>
        </row>
        <row r="627">
          <cell r="C627">
            <v>5555</v>
          </cell>
          <cell r="D627" t="str">
            <v>Core</v>
          </cell>
          <cell r="E627" t="str">
            <v>Gold</v>
          </cell>
          <cell r="F627" t="str">
            <v>Gold Inline</v>
          </cell>
          <cell r="G627" t="str">
            <v>Core</v>
          </cell>
          <cell r="H627" t="str">
            <v>SG_02_01 Sun Glass Hut_Gold_OWNED</v>
          </cell>
          <cell r="I627" t="str">
            <v>0000005555 Fountains at Roseville</v>
          </cell>
          <cell r="J627" t="str">
            <v>Gold Inline</v>
          </cell>
          <cell r="K627">
            <v>0</v>
          </cell>
        </row>
        <row r="628">
          <cell r="C628">
            <v>5557</v>
          </cell>
          <cell r="D628" t="str">
            <v>Core</v>
          </cell>
          <cell r="E628" t="str">
            <v>Gold</v>
          </cell>
          <cell r="F628" t="str">
            <v>Gold Inline</v>
          </cell>
          <cell r="G628" t="str">
            <v>Core</v>
          </cell>
          <cell r="H628" t="str">
            <v>SG_02_01 Sun Glass Hut_Gold_OWNED</v>
          </cell>
          <cell r="I628" t="str">
            <v>0000005557 The Streets of Brentwood</v>
          </cell>
          <cell r="J628" t="str">
            <v>Gold Inline</v>
          </cell>
          <cell r="K628">
            <v>0</v>
          </cell>
        </row>
        <row r="629">
          <cell r="C629">
            <v>5558</v>
          </cell>
          <cell r="D629" t="str">
            <v>Core</v>
          </cell>
          <cell r="E629" t="str">
            <v>Gold</v>
          </cell>
          <cell r="F629" t="str">
            <v>Gold Inline</v>
          </cell>
          <cell r="G629" t="str">
            <v>Core</v>
          </cell>
          <cell r="H629" t="str">
            <v>SG_02_01 Sun Glass Hut_Gold_OWNED</v>
          </cell>
          <cell r="I629" t="str">
            <v>0000005558 Park Plaza Mall</v>
          </cell>
          <cell r="J629" t="str">
            <v>Gold Inline</v>
          </cell>
          <cell r="K629">
            <v>0</v>
          </cell>
        </row>
        <row r="630">
          <cell r="C630">
            <v>5560</v>
          </cell>
          <cell r="D630" t="str">
            <v>Core</v>
          </cell>
          <cell r="E630" t="str">
            <v>Gold</v>
          </cell>
          <cell r="F630" t="str">
            <v>Gold Inline</v>
          </cell>
          <cell r="G630" t="str">
            <v>Core</v>
          </cell>
          <cell r="H630" t="str">
            <v>SG_02_01 Sun Glass Hut_Gold_OWNED</v>
          </cell>
          <cell r="I630" t="str">
            <v>0000005560 The Shops at Anaheim GardenWal</v>
          </cell>
          <cell r="J630" t="str">
            <v>Gold Inline</v>
          </cell>
          <cell r="K630">
            <v>0</v>
          </cell>
        </row>
        <row r="631">
          <cell r="C631">
            <v>5561</v>
          </cell>
          <cell r="D631" t="str">
            <v>Core</v>
          </cell>
          <cell r="E631" t="str">
            <v>Gold</v>
          </cell>
          <cell r="F631" t="str">
            <v>Gold Inline</v>
          </cell>
          <cell r="G631" t="str">
            <v>Core</v>
          </cell>
          <cell r="H631" t="str">
            <v>SG_02_01 Sun Glass Hut_Gold_OWNED</v>
          </cell>
          <cell r="I631" t="str">
            <v>0000005561 Cannery Row</v>
          </cell>
          <cell r="J631" t="str">
            <v>Gold Inline</v>
          </cell>
          <cell r="K631">
            <v>0</v>
          </cell>
        </row>
        <row r="632">
          <cell r="C632">
            <v>5562</v>
          </cell>
          <cell r="D632" t="str">
            <v>Core</v>
          </cell>
          <cell r="E632" t="str">
            <v>Gold</v>
          </cell>
          <cell r="F632" t="str">
            <v>Gold Inline</v>
          </cell>
          <cell r="G632" t="str">
            <v>Core</v>
          </cell>
          <cell r="H632" t="str">
            <v>SG_02_01 Sun Glass Hut_Gold_OWNED</v>
          </cell>
          <cell r="I632" t="str">
            <v>0000005562 Grand Boulevard</v>
          </cell>
          <cell r="J632" t="str">
            <v>Gold Inline</v>
          </cell>
          <cell r="K632">
            <v>0</v>
          </cell>
        </row>
        <row r="633">
          <cell r="C633">
            <v>5665</v>
          </cell>
          <cell r="D633" t="str">
            <v>Core</v>
          </cell>
          <cell r="E633" t="str">
            <v>Gold</v>
          </cell>
          <cell r="F633" t="str">
            <v>Gold Inline</v>
          </cell>
          <cell r="G633" t="str">
            <v>Core</v>
          </cell>
          <cell r="H633" t="str">
            <v>SG_02_01 Sun Glass Hut_Gold_OWNED</v>
          </cell>
          <cell r="I633" t="str">
            <v>0000005665 Southcenter Mall</v>
          </cell>
          <cell r="J633" t="str">
            <v>Gold Inline</v>
          </cell>
          <cell r="K633">
            <v>0</v>
          </cell>
        </row>
        <row r="634">
          <cell r="C634">
            <v>5666</v>
          </cell>
          <cell r="D634" t="str">
            <v>Core</v>
          </cell>
          <cell r="E634" t="str">
            <v>Gold</v>
          </cell>
          <cell r="F634" t="str">
            <v>Gold Inline</v>
          </cell>
          <cell r="G634" t="str">
            <v>Core</v>
          </cell>
          <cell r="H634" t="str">
            <v>SG_02_01 Sun Glass Hut_Gold_OWNED</v>
          </cell>
          <cell r="I634" t="str">
            <v>0000005666 Suburban Square</v>
          </cell>
          <cell r="J634" t="str">
            <v>Gold Inline</v>
          </cell>
          <cell r="K634">
            <v>0</v>
          </cell>
        </row>
        <row r="635">
          <cell r="C635">
            <v>5667</v>
          </cell>
          <cell r="D635" t="str">
            <v>Core</v>
          </cell>
          <cell r="E635" t="str">
            <v>Gold</v>
          </cell>
          <cell r="F635" t="str">
            <v>Gold Inline</v>
          </cell>
          <cell r="G635" t="str">
            <v>Core</v>
          </cell>
          <cell r="H635" t="str">
            <v>SG_02_01 Sun Glass Hut_Gold_OWNED</v>
          </cell>
          <cell r="I635" t="str">
            <v>0000005667 West Town Mall</v>
          </cell>
          <cell r="J635" t="str">
            <v>Gold Inline</v>
          </cell>
          <cell r="K635">
            <v>0</v>
          </cell>
        </row>
        <row r="636">
          <cell r="C636">
            <v>5677</v>
          </cell>
          <cell r="D636" t="str">
            <v>Core</v>
          </cell>
          <cell r="E636" t="str">
            <v>Gold</v>
          </cell>
          <cell r="F636" t="str">
            <v>Gold Kiosk</v>
          </cell>
          <cell r="G636" t="str">
            <v>Core</v>
          </cell>
          <cell r="H636" t="str">
            <v>SG_02_01 Sun Glass Hut_Gold_OWNED</v>
          </cell>
          <cell r="I636" t="str">
            <v>0000005677 CrossIron Mills</v>
          </cell>
          <cell r="J636" t="str">
            <v>Gold Kiosk</v>
          </cell>
          <cell r="K636">
            <v>0</v>
          </cell>
        </row>
        <row r="637">
          <cell r="C637">
            <v>5682</v>
          </cell>
          <cell r="D637" t="str">
            <v>Core</v>
          </cell>
          <cell r="E637" t="str">
            <v>Gold</v>
          </cell>
          <cell r="F637" t="str">
            <v>Gold Inline</v>
          </cell>
          <cell r="G637" t="str">
            <v>Core</v>
          </cell>
          <cell r="H637" t="str">
            <v>SG_02_01 Sun Glass Hut_Gold_OWNED</v>
          </cell>
          <cell r="I637" t="str">
            <v>0000005682 Block 37</v>
          </cell>
          <cell r="J637" t="str">
            <v>Gold Inline</v>
          </cell>
          <cell r="K637">
            <v>0</v>
          </cell>
        </row>
        <row r="638">
          <cell r="C638">
            <v>5690</v>
          </cell>
          <cell r="D638" t="str">
            <v>Core</v>
          </cell>
          <cell r="E638" t="str">
            <v>Gold</v>
          </cell>
          <cell r="F638" t="str">
            <v>Gold Inline</v>
          </cell>
          <cell r="G638" t="str">
            <v>Core</v>
          </cell>
          <cell r="H638" t="str">
            <v>SG_02_01 Sun Glass Hut_Gold_OWNED</v>
          </cell>
          <cell r="I638" t="str">
            <v>0000005690 The Ave East Cobb</v>
          </cell>
          <cell r="J638" t="str">
            <v>Gold Inline</v>
          </cell>
          <cell r="K638">
            <v>0</v>
          </cell>
        </row>
        <row r="639">
          <cell r="C639">
            <v>5693</v>
          </cell>
          <cell r="D639" t="str">
            <v>Core</v>
          </cell>
          <cell r="E639" t="str">
            <v>Gold</v>
          </cell>
          <cell r="F639" t="str">
            <v>Gold Inline</v>
          </cell>
          <cell r="G639" t="str">
            <v>Core</v>
          </cell>
          <cell r="H639" t="str">
            <v>SG_02_01 Sun Glass Hut_Gold_OWNED</v>
          </cell>
          <cell r="I639" t="str">
            <v>0000005693 Danbury Fair Mall</v>
          </cell>
          <cell r="J639" t="str">
            <v>Gold Inline</v>
          </cell>
          <cell r="K639">
            <v>0</v>
          </cell>
        </row>
        <row r="640">
          <cell r="C640">
            <v>5698</v>
          </cell>
          <cell r="D640" t="str">
            <v>Core</v>
          </cell>
          <cell r="E640" t="str">
            <v>Gold</v>
          </cell>
          <cell r="F640" t="str">
            <v>Gold Inline</v>
          </cell>
          <cell r="G640" t="str">
            <v>Core</v>
          </cell>
          <cell r="H640" t="str">
            <v>SG_02_01 Sun Glass Hut_Gold_OWNED</v>
          </cell>
          <cell r="I640" t="str">
            <v>0000005698 Bridgeport Village</v>
          </cell>
          <cell r="J640" t="str">
            <v>Gold Inline</v>
          </cell>
          <cell r="K640">
            <v>0</v>
          </cell>
        </row>
        <row r="641">
          <cell r="C641">
            <v>5701</v>
          </cell>
          <cell r="D641" t="str">
            <v>Core</v>
          </cell>
          <cell r="E641" t="str">
            <v>Gold</v>
          </cell>
          <cell r="F641" t="str">
            <v>Gold Inline</v>
          </cell>
          <cell r="G641" t="str">
            <v>Core</v>
          </cell>
          <cell r="H641" t="str">
            <v>SG_02_01 Sun Glass Hut_Gold_OWNED</v>
          </cell>
          <cell r="I641" t="str">
            <v>0000005701 Northridge Fashion Center</v>
          </cell>
          <cell r="J641" t="str">
            <v>Gold Inline</v>
          </cell>
          <cell r="K641">
            <v>0</v>
          </cell>
        </row>
        <row r="642">
          <cell r="C642">
            <v>5709</v>
          </cell>
          <cell r="D642" t="str">
            <v>Core</v>
          </cell>
          <cell r="E642" t="str">
            <v>Gold</v>
          </cell>
          <cell r="F642" t="str">
            <v>Gold Kiosk</v>
          </cell>
          <cell r="G642" t="str">
            <v>Core</v>
          </cell>
          <cell r="H642" t="str">
            <v>SG_02_01 Sun Glass Hut_Gold_OWNED</v>
          </cell>
          <cell r="I642" t="str">
            <v>0000005709 Chandler Fashion Center</v>
          </cell>
          <cell r="J642" t="str">
            <v>Gold Kiosk</v>
          </cell>
          <cell r="K642">
            <v>0</v>
          </cell>
        </row>
        <row r="643">
          <cell r="C643">
            <v>5710</v>
          </cell>
          <cell r="D643" t="str">
            <v>Core</v>
          </cell>
          <cell r="E643" t="str">
            <v>Gold</v>
          </cell>
          <cell r="F643" t="str">
            <v>Gold Inline</v>
          </cell>
          <cell r="G643" t="str">
            <v>Core</v>
          </cell>
          <cell r="H643" t="str">
            <v>SG_02_01 Sun Glass Hut_Gold_OWNED</v>
          </cell>
          <cell r="I643" t="str">
            <v>0000005710 Sunland Park Mall</v>
          </cell>
          <cell r="J643" t="str">
            <v>Gold Inline</v>
          </cell>
          <cell r="K643">
            <v>0</v>
          </cell>
        </row>
        <row r="644">
          <cell r="C644">
            <v>5750</v>
          </cell>
          <cell r="D644" t="str">
            <v>Core</v>
          </cell>
          <cell r="E644" t="str">
            <v>Gold</v>
          </cell>
          <cell r="F644" t="str">
            <v>Gold Kiosk</v>
          </cell>
          <cell r="G644" t="str">
            <v>Core</v>
          </cell>
          <cell r="H644" t="str">
            <v>SG_02_01 Sun Glass Hut_Gold_OWNED</v>
          </cell>
          <cell r="I644" t="str">
            <v>0000005750 Woodfield Mall</v>
          </cell>
          <cell r="J644" t="str">
            <v>Gold Kiosk</v>
          </cell>
          <cell r="K644">
            <v>0</v>
          </cell>
        </row>
        <row r="645">
          <cell r="C645">
            <v>5753</v>
          </cell>
          <cell r="D645" t="str">
            <v>Core</v>
          </cell>
          <cell r="E645" t="str">
            <v>Gold</v>
          </cell>
          <cell r="F645" t="str">
            <v>Gold Inline</v>
          </cell>
          <cell r="G645" t="str">
            <v>Core</v>
          </cell>
          <cell r="H645" t="str">
            <v>SG_02_01 Sun Glass Hut_Gold_OWNED</v>
          </cell>
          <cell r="I645" t="str">
            <v>0000005753 Waterford Lakes Town Center</v>
          </cell>
          <cell r="J645" t="str">
            <v>Gold Inline</v>
          </cell>
          <cell r="K645">
            <v>0</v>
          </cell>
        </row>
        <row r="646">
          <cell r="C646">
            <v>5754</v>
          </cell>
          <cell r="D646" t="str">
            <v>Core</v>
          </cell>
          <cell r="E646" t="str">
            <v>Gold</v>
          </cell>
          <cell r="F646" t="str">
            <v>Gold Kiosk</v>
          </cell>
          <cell r="G646" t="str">
            <v>Core</v>
          </cell>
          <cell r="H646" t="str">
            <v>SG_02_01 Sun Glass Hut_Gold_OWNED</v>
          </cell>
          <cell r="I646" t="str">
            <v>0000005754 Scottsdale Fashion Square</v>
          </cell>
          <cell r="J646" t="str">
            <v>Gold Kiosk</v>
          </cell>
          <cell r="K646">
            <v>0</v>
          </cell>
        </row>
        <row r="647">
          <cell r="C647">
            <v>5811</v>
          </cell>
          <cell r="D647" t="str">
            <v>Core</v>
          </cell>
          <cell r="E647" t="str">
            <v>Gold</v>
          </cell>
          <cell r="F647" t="str">
            <v>Gold Kiosk</v>
          </cell>
          <cell r="G647" t="str">
            <v>Core</v>
          </cell>
          <cell r="H647" t="str">
            <v>SG_02_01 Sun Glass Hut_Gold_OWNED</v>
          </cell>
          <cell r="I647" t="str">
            <v>0000005811 Miracle Mile Shops</v>
          </cell>
          <cell r="J647" t="str">
            <v>Gold Kiosk</v>
          </cell>
          <cell r="K647">
            <v>0</v>
          </cell>
        </row>
        <row r="648">
          <cell r="C648">
            <v>5812</v>
          </cell>
          <cell r="D648" t="str">
            <v>Core</v>
          </cell>
          <cell r="E648" t="str">
            <v>Gold</v>
          </cell>
          <cell r="F648" t="str">
            <v>Gold Inline</v>
          </cell>
          <cell r="G648" t="str">
            <v>Core</v>
          </cell>
          <cell r="H648" t="str">
            <v>SG_02_01 Sun Glass Hut_Gold_OWNED</v>
          </cell>
          <cell r="I648" t="str">
            <v>0000005812 Northbrook Court</v>
          </cell>
          <cell r="J648" t="str">
            <v>Gold Inline</v>
          </cell>
          <cell r="K648">
            <v>0</v>
          </cell>
        </row>
        <row r="649">
          <cell r="C649">
            <v>5813</v>
          </cell>
          <cell r="D649" t="str">
            <v>Core</v>
          </cell>
          <cell r="E649" t="str">
            <v>Gold</v>
          </cell>
          <cell r="F649" t="str">
            <v>Gold Kiosk</v>
          </cell>
          <cell r="G649" t="str">
            <v>Core</v>
          </cell>
          <cell r="H649" t="str">
            <v>SG_02_01 Sun Glass Hut_Gold_OWNED</v>
          </cell>
          <cell r="I649" t="str">
            <v>0000005813 Fashion Square</v>
          </cell>
          <cell r="J649" t="str">
            <v>Gold Kiosk</v>
          </cell>
          <cell r="K649">
            <v>0</v>
          </cell>
        </row>
        <row r="650">
          <cell r="C650">
            <v>6046</v>
          </cell>
          <cell r="D650" t="str">
            <v>Core</v>
          </cell>
          <cell r="E650" t="str">
            <v>Gold</v>
          </cell>
          <cell r="F650" t="str">
            <v>Gold Kiosk</v>
          </cell>
          <cell r="G650" t="str">
            <v>Core</v>
          </cell>
          <cell r="H650" t="str">
            <v>SG_02_01 Sun Glass Hut_Gold_OWNED</v>
          </cell>
          <cell r="I650" t="str">
            <v>0000006046 Los Cerritos Center</v>
          </cell>
          <cell r="J650" t="str">
            <v>Gold Kiosk</v>
          </cell>
          <cell r="K650">
            <v>0</v>
          </cell>
        </row>
        <row r="651">
          <cell r="C651">
            <v>6077</v>
          </cell>
          <cell r="D651" t="str">
            <v>Core</v>
          </cell>
          <cell r="E651" t="str">
            <v>Gold</v>
          </cell>
          <cell r="F651" t="str">
            <v>Gold Kiosk</v>
          </cell>
          <cell r="G651" t="str">
            <v>Core</v>
          </cell>
          <cell r="H651" t="str">
            <v>SG_02_01 Sun Glass Hut_Gold_OWNED</v>
          </cell>
          <cell r="I651" t="str">
            <v>0000006077 Cielo Vista Mall</v>
          </cell>
          <cell r="J651" t="str">
            <v>Gold Kiosk</v>
          </cell>
          <cell r="K651">
            <v>0</v>
          </cell>
        </row>
        <row r="652">
          <cell r="C652">
            <v>6087</v>
          </cell>
          <cell r="D652" t="str">
            <v>Core</v>
          </cell>
          <cell r="E652" t="str">
            <v>Gold</v>
          </cell>
          <cell r="F652" t="str">
            <v>Gold Kiosk</v>
          </cell>
          <cell r="G652" t="str">
            <v>Core</v>
          </cell>
          <cell r="H652" t="str">
            <v>SG_02_01 Sun Glass Hut_Gold_OWNED</v>
          </cell>
          <cell r="I652" t="str">
            <v>0000006087 Park Place Mall</v>
          </cell>
          <cell r="J652" t="str">
            <v>Gold Kiosk</v>
          </cell>
          <cell r="K652">
            <v>0</v>
          </cell>
        </row>
        <row r="653">
          <cell r="C653">
            <v>6091</v>
          </cell>
          <cell r="D653" t="str">
            <v>Core</v>
          </cell>
          <cell r="E653" t="str">
            <v>Gold</v>
          </cell>
          <cell r="F653" t="str">
            <v>Gold Kiosk</v>
          </cell>
          <cell r="G653" t="str">
            <v>Core</v>
          </cell>
          <cell r="H653" t="str">
            <v>SG_02_01 Sun Glass Hut_Gold_OWNED</v>
          </cell>
          <cell r="I653" t="str">
            <v>0000006091 Penn Square Mall</v>
          </cell>
          <cell r="J653" t="str">
            <v>Gold Kiosk</v>
          </cell>
          <cell r="K653">
            <v>0</v>
          </cell>
        </row>
        <row r="654">
          <cell r="C654">
            <v>6095</v>
          </cell>
          <cell r="D654" t="str">
            <v>Core</v>
          </cell>
          <cell r="E654" t="str">
            <v>Gold</v>
          </cell>
          <cell r="F654" t="str">
            <v>Gold Inline</v>
          </cell>
          <cell r="G654" t="str">
            <v>Core</v>
          </cell>
          <cell r="H654" t="str">
            <v>SG_02_01 Sun Glass Hut_Gold_OWNED</v>
          </cell>
          <cell r="I654" t="str">
            <v>0000006095 Glendale Galleria</v>
          </cell>
          <cell r="J654" t="str">
            <v>Gold Inline</v>
          </cell>
          <cell r="K654">
            <v>0</v>
          </cell>
        </row>
        <row r="655">
          <cell r="C655">
            <v>6096</v>
          </cell>
          <cell r="D655" t="str">
            <v>Core</v>
          </cell>
          <cell r="E655" t="str">
            <v>Gold</v>
          </cell>
          <cell r="F655" t="str">
            <v>Gold Inline</v>
          </cell>
          <cell r="G655" t="str">
            <v>Core</v>
          </cell>
          <cell r="H655" t="str">
            <v>SG_02_01 Sun Glass Hut_Gold_OWNED</v>
          </cell>
          <cell r="I655" t="str">
            <v>0000006096 Washington Square</v>
          </cell>
          <cell r="J655" t="str">
            <v>Gold Inline</v>
          </cell>
          <cell r="K655">
            <v>0</v>
          </cell>
        </row>
        <row r="656">
          <cell r="C656">
            <v>6097</v>
          </cell>
          <cell r="D656" t="str">
            <v>Core</v>
          </cell>
          <cell r="E656" t="str">
            <v>Gold</v>
          </cell>
          <cell r="F656" t="str">
            <v>Gold Inline</v>
          </cell>
          <cell r="G656" t="str">
            <v>Core</v>
          </cell>
          <cell r="H656" t="str">
            <v>SG_02_01 Sun Glass Hut_Gold_OWNED</v>
          </cell>
          <cell r="I656" t="str">
            <v>0000006097 Christiana Mall</v>
          </cell>
          <cell r="J656" t="str">
            <v>Gold Inline</v>
          </cell>
          <cell r="K656">
            <v>0</v>
          </cell>
        </row>
        <row r="657">
          <cell r="C657">
            <v>6127</v>
          </cell>
          <cell r="D657" t="str">
            <v>Core</v>
          </cell>
          <cell r="E657" t="str">
            <v>Gold</v>
          </cell>
          <cell r="F657" t="str">
            <v>Gold Kiosk</v>
          </cell>
          <cell r="G657" t="str">
            <v>Core</v>
          </cell>
          <cell r="H657" t="str">
            <v>SG_02_01 Sun Glass Hut_Gold_OWNED</v>
          </cell>
          <cell r="I657" t="str">
            <v>0000006127 San Francisco Centre</v>
          </cell>
          <cell r="J657" t="str">
            <v>Gold Kiosk</v>
          </cell>
          <cell r="K657">
            <v>0</v>
          </cell>
        </row>
        <row r="658">
          <cell r="C658">
            <v>6128</v>
          </cell>
          <cell r="D658" t="str">
            <v>Core</v>
          </cell>
          <cell r="E658" t="str">
            <v>Gold</v>
          </cell>
          <cell r="F658" t="str">
            <v>Gold Inline</v>
          </cell>
          <cell r="G658" t="str">
            <v>Core</v>
          </cell>
          <cell r="H658" t="str">
            <v>SG_02_01 Sun Glass Hut_Gold_OWNED</v>
          </cell>
          <cell r="I658" t="str">
            <v>0000006128 Perkins Rowe</v>
          </cell>
          <cell r="J658" t="str">
            <v>Gold Inline</v>
          </cell>
          <cell r="K658">
            <v>0</v>
          </cell>
        </row>
        <row r="659">
          <cell r="C659">
            <v>6131</v>
          </cell>
          <cell r="D659" t="str">
            <v>Core</v>
          </cell>
          <cell r="E659" t="str">
            <v>Gold</v>
          </cell>
          <cell r="F659" t="str">
            <v>Gold Kiosk</v>
          </cell>
          <cell r="G659" t="str">
            <v>Core</v>
          </cell>
          <cell r="H659" t="str">
            <v>SG_02_01 Sun Glass Hut_Gold_OWNED</v>
          </cell>
          <cell r="I659" t="str">
            <v>0000006131 Fashion Place Mall</v>
          </cell>
          <cell r="J659" t="str">
            <v>Gold Kiosk</v>
          </cell>
          <cell r="K659">
            <v>0</v>
          </cell>
        </row>
        <row r="660">
          <cell r="C660">
            <v>7357</v>
          </cell>
          <cell r="D660" t="str">
            <v>Core</v>
          </cell>
          <cell r="E660" t="str">
            <v>Gold</v>
          </cell>
          <cell r="F660" t="str">
            <v>Gold Kiosk</v>
          </cell>
          <cell r="G660" t="str">
            <v>Core</v>
          </cell>
          <cell r="H660" t="str">
            <v>SG_02_01 Sun Glass Hut_Gold_OWNED</v>
          </cell>
          <cell r="I660" t="str">
            <v>0000007357 Miracle Mile Shops</v>
          </cell>
          <cell r="J660" t="str">
            <v>Gold Kiosk</v>
          </cell>
          <cell r="K660">
            <v>0</v>
          </cell>
        </row>
        <row r="661">
          <cell r="C661">
            <v>7664</v>
          </cell>
          <cell r="D661" t="str">
            <v>Core</v>
          </cell>
          <cell r="E661" t="str">
            <v>Gold</v>
          </cell>
          <cell r="F661" t="str">
            <v>Gold Kiosk</v>
          </cell>
          <cell r="G661" t="str">
            <v>Core</v>
          </cell>
          <cell r="H661" t="str">
            <v>SG_02_01 Sun Glass Hut_Gold_OWNED</v>
          </cell>
          <cell r="I661" t="str">
            <v>0000007664 Disneyland</v>
          </cell>
          <cell r="J661" t="str">
            <v>Gold Kiosk</v>
          </cell>
          <cell r="K661">
            <v>0</v>
          </cell>
        </row>
        <row r="662">
          <cell r="C662">
            <v>186</v>
          </cell>
          <cell r="D662" t="str">
            <v>Core</v>
          </cell>
          <cell r="E662" t="str">
            <v>Silver</v>
          </cell>
          <cell r="F662" t="str">
            <v>Silver Kiosk</v>
          </cell>
          <cell r="G662" t="str">
            <v>Core</v>
          </cell>
          <cell r="H662" t="str">
            <v>SG_03_01 Sun Glass Hut_Silver_OWNED</v>
          </cell>
          <cell r="I662" t="str">
            <v>0000000186 Willow Grove Park</v>
          </cell>
          <cell r="J662" t="str">
            <v>Silver Kiosk</v>
          </cell>
          <cell r="K662">
            <v>0</v>
          </cell>
        </row>
        <row r="663">
          <cell r="C663">
            <v>384</v>
          </cell>
          <cell r="D663" t="str">
            <v>Core</v>
          </cell>
          <cell r="E663" t="str">
            <v>Silver</v>
          </cell>
          <cell r="F663" t="str">
            <v>Silver Kiosk</v>
          </cell>
          <cell r="G663" t="str">
            <v>Core</v>
          </cell>
          <cell r="H663" t="str">
            <v>SG_03_01 Sun Glass Hut_Silver_OWNED</v>
          </cell>
          <cell r="I663" t="str">
            <v>0000000384 Emerald Square</v>
          </cell>
          <cell r="J663" t="str">
            <v>Silver Kiosk</v>
          </cell>
          <cell r="K663">
            <v>0</v>
          </cell>
        </row>
        <row r="664">
          <cell r="C664">
            <v>387</v>
          </cell>
          <cell r="D664" t="str">
            <v>Core</v>
          </cell>
          <cell r="E664" t="str">
            <v>Silver</v>
          </cell>
          <cell r="F664" t="str">
            <v>Silver Kiosk</v>
          </cell>
          <cell r="G664" t="str">
            <v>Core</v>
          </cell>
          <cell r="H664" t="str">
            <v>SG_03_01 Sun Glass Hut_Silver_OWNED</v>
          </cell>
          <cell r="I664" t="str">
            <v>0000000387 Independence Mall</v>
          </cell>
          <cell r="J664" t="str">
            <v>Silver Kiosk</v>
          </cell>
          <cell r="K664">
            <v>0</v>
          </cell>
        </row>
        <row r="665">
          <cell r="C665">
            <v>665</v>
          </cell>
          <cell r="D665" t="str">
            <v>Core</v>
          </cell>
          <cell r="E665" t="str">
            <v>Silver</v>
          </cell>
          <cell r="F665" t="str">
            <v>Silver Kiosk</v>
          </cell>
          <cell r="G665" t="str">
            <v>Core</v>
          </cell>
          <cell r="H665" t="str">
            <v>SG_03_01 Sun Glass Hut_Silver_OWNED</v>
          </cell>
          <cell r="I665" t="str">
            <v>0000000665 The Crossroads</v>
          </cell>
          <cell r="J665" t="str">
            <v>Silver Kiosk</v>
          </cell>
          <cell r="K665">
            <v>0</v>
          </cell>
        </row>
        <row r="666">
          <cell r="C666">
            <v>1126</v>
          </cell>
          <cell r="D666" t="str">
            <v>Core</v>
          </cell>
          <cell r="E666" t="str">
            <v>Silver</v>
          </cell>
          <cell r="F666" t="str">
            <v>Silver Kiosk</v>
          </cell>
          <cell r="G666" t="str">
            <v>Core</v>
          </cell>
          <cell r="H666" t="str">
            <v>SG_03_01 Sun Glass Hut_Silver_OWNED</v>
          </cell>
          <cell r="I666" t="str">
            <v>0000001126 Independence Mall</v>
          </cell>
          <cell r="J666" t="str">
            <v>Silver Kiosk</v>
          </cell>
          <cell r="K666">
            <v>0</v>
          </cell>
        </row>
        <row r="667">
          <cell r="C667">
            <v>1166</v>
          </cell>
          <cell r="D667" t="str">
            <v>Core</v>
          </cell>
          <cell r="E667" t="str">
            <v>Silver</v>
          </cell>
          <cell r="F667" t="str">
            <v>Silver Inline</v>
          </cell>
          <cell r="G667" t="str">
            <v>Core</v>
          </cell>
          <cell r="H667" t="str">
            <v>SG_03_01 Sun Glass Hut_Silver_OWNED</v>
          </cell>
          <cell r="I667" t="str">
            <v>0000001166 Mic Mac Mall</v>
          </cell>
          <cell r="J667" t="str">
            <v>Silver Inline</v>
          </cell>
          <cell r="K667">
            <v>0</v>
          </cell>
        </row>
        <row r="668">
          <cell r="C668">
            <v>1184</v>
          </cell>
          <cell r="D668" t="str">
            <v>Core</v>
          </cell>
          <cell r="E668" t="str">
            <v>Silver</v>
          </cell>
          <cell r="F668" t="str">
            <v>Silver Inline</v>
          </cell>
          <cell r="G668" t="str">
            <v>Core</v>
          </cell>
          <cell r="H668" t="str">
            <v>SG_03_01 Sun Glass Hut_Silver_OWNED</v>
          </cell>
          <cell r="I668" t="str">
            <v>0000001184 West Valley Mall</v>
          </cell>
          <cell r="J668" t="str">
            <v>Silver Inline</v>
          </cell>
          <cell r="K668">
            <v>0</v>
          </cell>
        </row>
        <row r="669">
          <cell r="C669">
            <v>1194</v>
          </cell>
          <cell r="D669" t="str">
            <v>Core</v>
          </cell>
          <cell r="E669" t="str">
            <v>Silver</v>
          </cell>
          <cell r="F669" t="str">
            <v>Silver Inline</v>
          </cell>
          <cell r="G669" t="str">
            <v>Core</v>
          </cell>
          <cell r="H669" t="str">
            <v>SG_03_01 Sun Glass Hut_Silver_OWNED</v>
          </cell>
          <cell r="I669" t="str">
            <v>0000001194 Rolling Oaks Mall</v>
          </cell>
          <cell r="J669" t="str">
            <v>Silver Inline</v>
          </cell>
          <cell r="K669">
            <v>0</v>
          </cell>
        </row>
        <row r="670">
          <cell r="C670">
            <v>1222</v>
          </cell>
          <cell r="D670" t="str">
            <v>Core</v>
          </cell>
          <cell r="E670" t="str">
            <v>Silver</v>
          </cell>
          <cell r="F670" t="str">
            <v>Silver Inline</v>
          </cell>
          <cell r="G670" t="str">
            <v>Core</v>
          </cell>
          <cell r="H670" t="str">
            <v>SG_03_01 Sun Glass Hut_Silver_OWNED</v>
          </cell>
          <cell r="I670" t="str">
            <v>0000001222 Champlain Place</v>
          </cell>
          <cell r="J670" t="str">
            <v>Silver Inline</v>
          </cell>
          <cell r="K670">
            <v>0</v>
          </cell>
        </row>
        <row r="671">
          <cell r="C671">
            <v>1224</v>
          </cell>
          <cell r="D671" t="str">
            <v>Core</v>
          </cell>
          <cell r="E671" t="str">
            <v>Silver</v>
          </cell>
          <cell r="F671" t="str">
            <v>Silver Kiosk</v>
          </cell>
          <cell r="G671" t="str">
            <v>Core</v>
          </cell>
          <cell r="H671" t="str">
            <v>SG_03_01 Sun Glass Hut_Silver_OWNED</v>
          </cell>
          <cell r="I671" t="str">
            <v>0000001224 Valdosta Mall</v>
          </cell>
          <cell r="J671" t="str">
            <v>Silver Kiosk</v>
          </cell>
          <cell r="K671">
            <v>0</v>
          </cell>
        </row>
        <row r="672">
          <cell r="C672">
            <v>1238</v>
          </cell>
          <cell r="D672" t="str">
            <v>Core</v>
          </cell>
          <cell r="E672" t="str">
            <v>Silver</v>
          </cell>
          <cell r="F672" t="str">
            <v>Silver Kiosk</v>
          </cell>
          <cell r="G672" t="str">
            <v>Core</v>
          </cell>
          <cell r="H672" t="str">
            <v>SG_03_01 Sun Glass Hut_Silver_OWNED</v>
          </cell>
          <cell r="I672" t="str">
            <v>0000001238 Columbiana Centre</v>
          </cell>
          <cell r="J672" t="str">
            <v>Silver Kiosk</v>
          </cell>
          <cell r="K672">
            <v>0</v>
          </cell>
        </row>
        <row r="673">
          <cell r="C673">
            <v>1262</v>
          </cell>
          <cell r="D673" t="str">
            <v>Core</v>
          </cell>
          <cell r="E673" t="str">
            <v>Silver</v>
          </cell>
          <cell r="F673" t="str">
            <v>Silver Inline</v>
          </cell>
          <cell r="G673" t="str">
            <v>Core</v>
          </cell>
          <cell r="H673" t="str">
            <v>SG_03_01 Sun Glass Hut_Silver_OWNED</v>
          </cell>
          <cell r="I673" t="str">
            <v>0000001262 Seven Oaks Mall</v>
          </cell>
          <cell r="J673" t="str">
            <v>Silver Inline</v>
          </cell>
          <cell r="K673">
            <v>0</v>
          </cell>
        </row>
        <row r="674">
          <cell r="C674">
            <v>1270</v>
          </cell>
          <cell r="D674" t="str">
            <v>Core</v>
          </cell>
          <cell r="E674" t="str">
            <v>Silver</v>
          </cell>
          <cell r="F674" t="str">
            <v>Silver Inline</v>
          </cell>
          <cell r="G674" t="str">
            <v>Core</v>
          </cell>
          <cell r="H674" t="str">
            <v>SG_03_01 Sun Glass Hut_Silver_OWNED</v>
          </cell>
          <cell r="I674" t="str">
            <v>0000001270 Cottonwood Mall</v>
          </cell>
          <cell r="J674" t="str">
            <v>Silver Inline</v>
          </cell>
          <cell r="K674">
            <v>0</v>
          </cell>
        </row>
        <row r="675">
          <cell r="C675">
            <v>1271</v>
          </cell>
          <cell r="D675" t="str">
            <v>Core</v>
          </cell>
          <cell r="E675" t="str">
            <v>Silver</v>
          </cell>
          <cell r="F675" t="str">
            <v>Silver Inline</v>
          </cell>
          <cell r="G675" t="str">
            <v>Core</v>
          </cell>
          <cell r="H675" t="str">
            <v>SG_03_01 Sun Glass Hut_Silver_OWNED</v>
          </cell>
          <cell r="I675" t="str">
            <v>0000001271 Solomon Pond Mall</v>
          </cell>
          <cell r="J675" t="str">
            <v>Silver Inline</v>
          </cell>
          <cell r="K675">
            <v>0</v>
          </cell>
        </row>
        <row r="676">
          <cell r="C676">
            <v>1272</v>
          </cell>
          <cell r="D676" t="str">
            <v>Core</v>
          </cell>
          <cell r="E676" t="str">
            <v>Silver</v>
          </cell>
          <cell r="F676" t="str">
            <v>Silver Kiosk</v>
          </cell>
          <cell r="G676" t="str">
            <v>Core</v>
          </cell>
          <cell r="H676" t="str">
            <v>SG_03_01 Sun Glass Hut_Silver_OWNED</v>
          </cell>
          <cell r="I676" t="str">
            <v>0000001272 Indian River Mall</v>
          </cell>
          <cell r="J676" t="str">
            <v>Silver Kiosk</v>
          </cell>
          <cell r="K676">
            <v>0</v>
          </cell>
        </row>
        <row r="677">
          <cell r="C677">
            <v>1277</v>
          </cell>
          <cell r="D677" t="str">
            <v>Core</v>
          </cell>
          <cell r="E677" t="str">
            <v>Silver</v>
          </cell>
          <cell r="F677" t="str">
            <v>Silver Kiosk</v>
          </cell>
          <cell r="G677" t="str">
            <v>Core</v>
          </cell>
          <cell r="H677" t="str">
            <v>SG_03_01 Sun Glass Hut_Silver_OWNED</v>
          </cell>
          <cell r="I677" t="str">
            <v>0000001277 New Sudbury Centre</v>
          </cell>
          <cell r="J677" t="str">
            <v>Silver Kiosk</v>
          </cell>
          <cell r="K677">
            <v>0</v>
          </cell>
        </row>
        <row r="678">
          <cell r="C678">
            <v>1280</v>
          </cell>
          <cell r="D678" t="str">
            <v>Core</v>
          </cell>
          <cell r="E678" t="str">
            <v>Silver</v>
          </cell>
          <cell r="F678" t="str">
            <v>Silver Kiosk</v>
          </cell>
          <cell r="G678" t="str">
            <v>Core</v>
          </cell>
          <cell r="H678" t="str">
            <v>SG_03_01 Sun Glass Hut_Silver_OWNED</v>
          </cell>
          <cell r="I678" t="str">
            <v>0000001280 Millcreek Mall</v>
          </cell>
          <cell r="J678" t="str">
            <v>Silver Kiosk</v>
          </cell>
          <cell r="K678">
            <v>0</v>
          </cell>
        </row>
        <row r="679">
          <cell r="C679">
            <v>1282</v>
          </cell>
          <cell r="D679" t="str">
            <v>Core</v>
          </cell>
          <cell r="E679" t="str">
            <v>Silver</v>
          </cell>
          <cell r="F679" t="str">
            <v>Silver Inline</v>
          </cell>
          <cell r="G679" t="str">
            <v>Core</v>
          </cell>
          <cell r="H679" t="str">
            <v>SG_03_01 Sun Glass Hut_Silver_OWNED</v>
          </cell>
          <cell r="I679" t="str">
            <v>0000001282 Spotsylvania Towne Centre</v>
          </cell>
          <cell r="J679" t="str">
            <v>Silver Inline</v>
          </cell>
          <cell r="K679">
            <v>0</v>
          </cell>
        </row>
        <row r="680">
          <cell r="C680">
            <v>1292</v>
          </cell>
          <cell r="D680" t="str">
            <v>Core</v>
          </cell>
          <cell r="E680" t="str">
            <v>Silver</v>
          </cell>
          <cell r="F680" t="str">
            <v>Silver Inline</v>
          </cell>
          <cell r="G680" t="str">
            <v>Core</v>
          </cell>
          <cell r="H680" t="str">
            <v>SG_03_01 Sun Glass Hut_Silver_OWNED</v>
          </cell>
          <cell r="I680" t="str">
            <v>0000001292 Town Center Plaza</v>
          </cell>
          <cell r="J680" t="str">
            <v>Silver Inline</v>
          </cell>
          <cell r="K680">
            <v>0</v>
          </cell>
        </row>
        <row r="681">
          <cell r="C681">
            <v>1294</v>
          </cell>
          <cell r="D681" t="str">
            <v>Core</v>
          </cell>
          <cell r="E681" t="str">
            <v>Silver</v>
          </cell>
          <cell r="F681" t="str">
            <v>Silver Inline</v>
          </cell>
          <cell r="G681" t="str">
            <v>Core</v>
          </cell>
          <cell r="H681" t="str">
            <v>SG_03_01 Sun Glass Hut_Silver_OWNED</v>
          </cell>
          <cell r="I681" t="str">
            <v>0000001294 Galleria At Sunset</v>
          </cell>
          <cell r="J681" t="str">
            <v>Silver Inline</v>
          </cell>
          <cell r="K681">
            <v>0</v>
          </cell>
        </row>
        <row r="682">
          <cell r="C682">
            <v>1538</v>
          </cell>
          <cell r="D682" t="str">
            <v>Core</v>
          </cell>
          <cell r="E682" t="str">
            <v>Silver</v>
          </cell>
          <cell r="F682" t="str">
            <v>Silver Inline</v>
          </cell>
          <cell r="G682" t="str">
            <v>Core</v>
          </cell>
          <cell r="H682" t="str">
            <v>SG_03_01 Sun Glass Hut_Silver_OWNED</v>
          </cell>
          <cell r="I682" t="str">
            <v>0000001538 Crocker Park</v>
          </cell>
          <cell r="J682" t="str">
            <v>Silver Inline</v>
          </cell>
          <cell r="K682">
            <v>0</v>
          </cell>
        </row>
        <row r="683">
          <cell r="C683">
            <v>1566</v>
          </cell>
          <cell r="D683" t="str">
            <v>Core</v>
          </cell>
          <cell r="E683" t="str">
            <v>Silver</v>
          </cell>
          <cell r="F683" t="str">
            <v>Silver Inline</v>
          </cell>
          <cell r="G683" t="str">
            <v>Core</v>
          </cell>
          <cell r="H683" t="str">
            <v>SG_03_01 Sun Glass Hut_Silver_OWNED</v>
          </cell>
          <cell r="I683" t="str">
            <v>0000001566 Redmond Town Center</v>
          </cell>
          <cell r="J683" t="str">
            <v>Silver Inline</v>
          </cell>
          <cell r="K683">
            <v>0</v>
          </cell>
        </row>
        <row r="684">
          <cell r="C684">
            <v>1568</v>
          </cell>
          <cell r="D684" t="str">
            <v>Core</v>
          </cell>
          <cell r="E684" t="str">
            <v>Silver</v>
          </cell>
          <cell r="F684" t="str">
            <v>Silver Inline</v>
          </cell>
          <cell r="G684" t="str">
            <v>Core</v>
          </cell>
          <cell r="H684" t="str">
            <v>SG_03_01 Sun Glass Hut_Silver_OWNED</v>
          </cell>
          <cell r="I684" t="str">
            <v>0000001568 Rogue Valley Mall</v>
          </cell>
          <cell r="J684" t="str">
            <v>Silver Inline</v>
          </cell>
          <cell r="K684">
            <v>0</v>
          </cell>
        </row>
        <row r="685">
          <cell r="C685">
            <v>1569</v>
          </cell>
          <cell r="D685" t="str">
            <v>Core</v>
          </cell>
          <cell r="E685" t="str">
            <v>Silver</v>
          </cell>
          <cell r="F685" t="str">
            <v>Silver Inline</v>
          </cell>
          <cell r="G685" t="str">
            <v>Core</v>
          </cell>
          <cell r="H685" t="str">
            <v>SG_03_01 Sun Glass Hut_Silver_OWNED</v>
          </cell>
          <cell r="I685" t="str">
            <v>0000001569 Valley River Center</v>
          </cell>
          <cell r="J685" t="str">
            <v>Silver Inline</v>
          </cell>
          <cell r="K685">
            <v>0</v>
          </cell>
        </row>
        <row r="686">
          <cell r="C686">
            <v>1570</v>
          </cell>
          <cell r="D686" t="str">
            <v>Core</v>
          </cell>
          <cell r="E686" t="str">
            <v>Silver</v>
          </cell>
          <cell r="F686" t="str">
            <v>Silver Inline</v>
          </cell>
          <cell r="G686" t="str">
            <v>Core</v>
          </cell>
          <cell r="H686" t="str">
            <v>SG_03_01 Sun Glass Hut_Silver_OWNED</v>
          </cell>
          <cell r="I686" t="str">
            <v>0000001570 NorthTown Mall</v>
          </cell>
          <cell r="J686" t="str">
            <v>Silver Inline</v>
          </cell>
          <cell r="K686">
            <v>0</v>
          </cell>
        </row>
        <row r="687">
          <cell r="C687">
            <v>1573</v>
          </cell>
          <cell r="D687" t="str">
            <v>Core</v>
          </cell>
          <cell r="E687" t="str">
            <v>Silver</v>
          </cell>
          <cell r="F687" t="str">
            <v>Silver Inline</v>
          </cell>
          <cell r="G687" t="str">
            <v>Core</v>
          </cell>
          <cell r="H687" t="str">
            <v>SG_03_01 Sun Glass Hut_Silver_OWNED</v>
          </cell>
          <cell r="I687" t="str">
            <v>0000001573 Vancouver Mall</v>
          </cell>
          <cell r="J687" t="str">
            <v>Silver Inline</v>
          </cell>
          <cell r="K687">
            <v>0</v>
          </cell>
        </row>
        <row r="688">
          <cell r="C688">
            <v>1576</v>
          </cell>
          <cell r="D688" t="str">
            <v>Core</v>
          </cell>
          <cell r="E688" t="str">
            <v>Silver</v>
          </cell>
          <cell r="F688" t="str">
            <v>Silver Inline</v>
          </cell>
          <cell r="G688" t="str">
            <v>Core</v>
          </cell>
          <cell r="H688" t="str">
            <v>SG_03_01 Sun Glass Hut_Silver_OWNED</v>
          </cell>
          <cell r="I688" t="str">
            <v>0000001576 Mt Shasta Mall</v>
          </cell>
          <cell r="J688" t="str">
            <v>Silver Inline</v>
          </cell>
          <cell r="K688">
            <v>0</v>
          </cell>
        </row>
        <row r="689">
          <cell r="C689">
            <v>1649</v>
          </cell>
          <cell r="D689" t="str">
            <v>Core</v>
          </cell>
          <cell r="E689" t="str">
            <v>Silver</v>
          </cell>
          <cell r="F689" t="str">
            <v>Silver Kiosk</v>
          </cell>
          <cell r="G689" t="str">
            <v>Core</v>
          </cell>
          <cell r="H689" t="str">
            <v>SG_03_01 Sun Glass Hut_Silver_OWNED</v>
          </cell>
          <cell r="I689" t="str">
            <v>0000001649 Hanover Mall</v>
          </cell>
          <cell r="J689" t="str">
            <v>Silver Kiosk</v>
          </cell>
          <cell r="K689">
            <v>0</v>
          </cell>
        </row>
        <row r="690">
          <cell r="C690">
            <v>1650</v>
          </cell>
          <cell r="D690" t="str">
            <v>Core</v>
          </cell>
          <cell r="E690" t="str">
            <v>Silver</v>
          </cell>
          <cell r="F690" t="str">
            <v>Silver Kiosk</v>
          </cell>
          <cell r="G690" t="str">
            <v>Core</v>
          </cell>
          <cell r="H690" t="str">
            <v>SG_03_01 Sun Glass Hut_Silver_OWNED</v>
          </cell>
          <cell r="I690" t="str">
            <v>0000001650 Greenbrier Mall</v>
          </cell>
          <cell r="J690" t="str">
            <v>Silver Kiosk</v>
          </cell>
          <cell r="K690">
            <v>0</v>
          </cell>
        </row>
        <row r="691">
          <cell r="C691">
            <v>1672</v>
          </cell>
          <cell r="D691" t="str">
            <v>Core</v>
          </cell>
          <cell r="E691" t="str">
            <v>Silver</v>
          </cell>
          <cell r="F691" t="str">
            <v>Silver Kiosk</v>
          </cell>
          <cell r="G691" t="str">
            <v>Core</v>
          </cell>
          <cell r="H691" t="str">
            <v>SG_03_01 Sun Glass Hut_Silver_OWNED</v>
          </cell>
          <cell r="I691" t="str">
            <v>0000001672 Rushmore Mall</v>
          </cell>
          <cell r="J691" t="str">
            <v>Silver Kiosk</v>
          </cell>
          <cell r="K691">
            <v>0</v>
          </cell>
        </row>
        <row r="692">
          <cell r="C692">
            <v>1683</v>
          </cell>
          <cell r="D692" t="str">
            <v>Core</v>
          </cell>
          <cell r="E692" t="str">
            <v>Silver</v>
          </cell>
          <cell r="F692" t="str">
            <v>Silver Inline</v>
          </cell>
          <cell r="G692" t="str">
            <v>Core</v>
          </cell>
          <cell r="H692" t="str">
            <v>SG_03_01 Sun Glass Hut_Silver_OWNED</v>
          </cell>
          <cell r="I692" t="str">
            <v>0000001683 Prien Lake Mall</v>
          </cell>
          <cell r="J692" t="str">
            <v>Silver Inline</v>
          </cell>
          <cell r="K692">
            <v>0</v>
          </cell>
        </row>
        <row r="693">
          <cell r="C693">
            <v>1712</v>
          </cell>
          <cell r="D693" t="str">
            <v>Core</v>
          </cell>
          <cell r="E693" t="str">
            <v>Silver</v>
          </cell>
          <cell r="F693" t="str">
            <v>Silver Inline</v>
          </cell>
          <cell r="G693" t="str">
            <v>Core</v>
          </cell>
          <cell r="H693" t="str">
            <v>SG_03_01 Sun Glass Hut_Silver_OWNED</v>
          </cell>
          <cell r="I693" t="str">
            <v>0000001712 Westgate Mall</v>
          </cell>
          <cell r="J693" t="str">
            <v>Silver Inline</v>
          </cell>
          <cell r="K693">
            <v>0</v>
          </cell>
        </row>
        <row r="694">
          <cell r="C694">
            <v>1730</v>
          </cell>
          <cell r="D694" t="str">
            <v>Core</v>
          </cell>
          <cell r="E694" t="str">
            <v>Silver</v>
          </cell>
          <cell r="F694" t="str">
            <v>Silver Inline</v>
          </cell>
          <cell r="G694" t="str">
            <v>Core</v>
          </cell>
          <cell r="H694" t="str">
            <v>SG_03_01 Sun Glass Hut_Silver_OWNED</v>
          </cell>
          <cell r="I694" t="str">
            <v>0000001730 Chesterfield Mall</v>
          </cell>
          <cell r="J694" t="str">
            <v>Silver Inline</v>
          </cell>
          <cell r="K694">
            <v>0</v>
          </cell>
        </row>
        <row r="695">
          <cell r="C695">
            <v>1742</v>
          </cell>
          <cell r="D695" t="str">
            <v>Core</v>
          </cell>
          <cell r="E695" t="str">
            <v>Silver</v>
          </cell>
          <cell r="F695" t="str">
            <v>Silver Kiosk</v>
          </cell>
          <cell r="G695" t="str">
            <v>Core</v>
          </cell>
          <cell r="H695" t="str">
            <v>SG_03_01 Sun Glass Hut_Silver_OWNED</v>
          </cell>
          <cell r="I695" t="str">
            <v>0000001742 Carlingwood Shopping Centre</v>
          </cell>
          <cell r="J695" t="str">
            <v>Silver Kiosk</v>
          </cell>
          <cell r="K695">
            <v>0</v>
          </cell>
        </row>
        <row r="696">
          <cell r="C696">
            <v>1771</v>
          </cell>
          <cell r="D696" t="str">
            <v>Core</v>
          </cell>
          <cell r="E696" t="str">
            <v>Silver</v>
          </cell>
          <cell r="F696" t="str">
            <v>Silver Kiosk</v>
          </cell>
          <cell r="G696" t="str">
            <v>Core</v>
          </cell>
          <cell r="H696" t="str">
            <v>SG_03_01 Sun Glass Hut_Silver_OWNED</v>
          </cell>
          <cell r="I696" t="str">
            <v>0000001771 Bonita Lakes Mall</v>
          </cell>
          <cell r="J696" t="str">
            <v>Silver Kiosk</v>
          </cell>
          <cell r="K696">
            <v>0</v>
          </cell>
        </row>
        <row r="697">
          <cell r="C697">
            <v>1773</v>
          </cell>
          <cell r="D697" t="str">
            <v>Core</v>
          </cell>
          <cell r="E697" t="str">
            <v>Silver</v>
          </cell>
          <cell r="F697" t="str">
            <v>Silver Inline</v>
          </cell>
          <cell r="G697" t="str">
            <v>Core</v>
          </cell>
          <cell r="H697" t="str">
            <v>SG_03_01 Sun Glass Hut_Silver_OWNED</v>
          </cell>
          <cell r="I697" t="str">
            <v>0000001773 SouthPark Mall</v>
          </cell>
          <cell r="J697" t="str">
            <v>Silver Inline</v>
          </cell>
          <cell r="K697">
            <v>0</v>
          </cell>
        </row>
        <row r="698">
          <cell r="C698">
            <v>1830</v>
          </cell>
          <cell r="D698" t="str">
            <v>Core</v>
          </cell>
          <cell r="E698" t="str">
            <v>Silver</v>
          </cell>
          <cell r="F698" t="str">
            <v>Silver Inline</v>
          </cell>
          <cell r="G698" t="str">
            <v>Core</v>
          </cell>
          <cell r="H698" t="str">
            <v>SG_03_01 Sun Glass Hut_Silver_OWNED</v>
          </cell>
          <cell r="I698" t="str">
            <v>0000001830 Barefoot Landing</v>
          </cell>
          <cell r="J698" t="str">
            <v>Silver Inline</v>
          </cell>
          <cell r="K698">
            <v>0</v>
          </cell>
        </row>
        <row r="699">
          <cell r="C699">
            <v>1843</v>
          </cell>
          <cell r="D699" t="str">
            <v>Core</v>
          </cell>
          <cell r="E699" t="str">
            <v>Silver</v>
          </cell>
          <cell r="F699" t="str">
            <v>Silver Inline</v>
          </cell>
          <cell r="G699" t="str">
            <v>Core</v>
          </cell>
          <cell r="H699" t="str">
            <v>SG_03_01 Sun Glass Hut_Silver_OWNED</v>
          </cell>
          <cell r="I699" t="str">
            <v>0000001843 Church St</v>
          </cell>
          <cell r="J699" t="str">
            <v>Silver Inline</v>
          </cell>
          <cell r="K699">
            <v>0</v>
          </cell>
        </row>
        <row r="700">
          <cell r="C700">
            <v>1868</v>
          </cell>
          <cell r="D700" t="str">
            <v>Core</v>
          </cell>
          <cell r="E700" t="str">
            <v>Silver</v>
          </cell>
          <cell r="F700" t="str">
            <v>Silver Kiosk</v>
          </cell>
          <cell r="G700" t="str">
            <v>Core</v>
          </cell>
          <cell r="H700" t="str">
            <v>SG_03_01 Sun Glass Hut_Silver_OWNED</v>
          </cell>
          <cell r="I700" t="str">
            <v>0000001868 Animas Valley Mall</v>
          </cell>
          <cell r="J700" t="str">
            <v>Silver Kiosk</v>
          </cell>
          <cell r="K700">
            <v>0</v>
          </cell>
        </row>
        <row r="701">
          <cell r="C701">
            <v>1875</v>
          </cell>
          <cell r="D701" t="str">
            <v>Core</v>
          </cell>
          <cell r="E701" t="str">
            <v>Silver</v>
          </cell>
          <cell r="F701" t="str">
            <v>Silver Inline</v>
          </cell>
          <cell r="G701" t="str">
            <v>Core</v>
          </cell>
          <cell r="H701" t="str">
            <v>SG_03_01 Sun Glass Hut_Silver_OWNED</v>
          </cell>
          <cell r="I701" t="str">
            <v>0000001875 River Ridge Mall</v>
          </cell>
          <cell r="J701" t="str">
            <v>Silver Inline</v>
          </cell>
          <cell r="K701">
            <v>0</v>
          </cell>
        </row>
        <row r="702">
          <cell r="C702">
            <v>1899</v>
          </cell>
          <cell r="D702" t="str">
            <v>Core</v>
          </cell>
          <cell r="E702" t="str">
            <v>Silver</v>
          </cell>
          <cell r="F702" t="str">
            <v>Silver Inline</v>
          </cell>
          <cell r="G702" t="str">
            <v>Core</v>
          </cell>
          <cell r="H702" t="str">
            <v>SG_03_01 Sun Glass Hut_Silver_OWNED</v>
          </cell>
          <cell r="I702" t="str">
            <v>0000001899 Boynton Beach Mall</v>
          </cell>
          <cell r="J702" t="str">
            <v>Silver Inline</v>
          </cell>
          <cell r="K702">
            <v>0</v>
          </cell>
        </row>
        <row r="703">
          <cell r="C703">
            <v>1921</v>
          </cell>
          <cell r="D703" t="str">
            <v>Core</v>
          </cell>
          <cell r="E703" t="str">
            <v>Silver</v>
          </cell>
          <cell r="F703" t="str">
            <v>Silver Inline</v>
          </cell>
          <cell r="G703" t="str">
            <v>Core</v>
          </cell>
          <cell r="H703" t="str">
            <v>SG_03_01 Sun Glass Hut_Silver_OWNED</v>
          </cell>
          <cell r="I703" t="str">
            <v>0000001921 Prince Kuhio Plaza</v>
          </cell>
          <cell r="J703" t="str">
            <v>Silver Inline</v>
          </cell>
          <cell r="K703">
            <v>0</v>
          </cell>
        </row>
        <row r="704">
          <cell r="C704">
            <v>1922</v>
          </cell>
          <cell r="D704" t="str">
            <v>Core</v>
          </cell>
          <cell r="E704" t="str">
            <v>Silver</v>
          </cell>
          <cell r="F704" t="str">
            <v>Silver Inline</v>
          </cell>
          <cell r="G704" t="str">
            <v>Core</v>
          </cell>
          <cell r="H704" t="str">
            <v>SG_03_01 Sun Glass Hut_Silver_OWNED</v>
          </cell>
          <cell r="I704" t="str">
            <v>0000001922 Wolfchase Galleria</v>
          </cell>
          <cell r="J704" t="str">
            <v>Silver Inline</v>
          </cell>
          <cell r="K704">
            <v>0</v>
          </cell>
        </row>
        <row r="705">
          <cell r="C705">
            <v>1944</v>
          </cell>
          <cell r="D705" t="str">
            <v>Core</v>
          </cell>
          <cell r="E705" t="str">
            <v>Silver</v>
          </cell>
          <cell r="F705" t="str">
            <v>Silver Inline</v>
          </cell>
          <cell r="G705" t="str">
            <v>Core</v>
          </cell>
          <cell r="H705" t="str">
            <v>SG_03_01 Sun Glass Hut_Silver_OWNED</v>
          </cell>
          <cell r="I705" t="str">
            <v>0000001944 Mccain Mall</v>
          </cell>
          <cell r="J705" t="str">
            <v>Silver Inline</v>
          </cell>
          <cell r="K705">
            <v>0</v>
          </cell>
        </row>
        <row r="706">
          <cell r="C706">
            <v>1990</v>
          </cell>
          <cell r="D706" t="str">
            <v>Core</v>
          </cell>
          <cell r="E706" t="str">
            <v>Silver</v>
          </cell>
          <cell r="F706" t="str">
            <v>Silver Inline</v>
          </cell>
          <cell r="G706" t="str">
            <v>Core</v>
          </cell>
          <cell r="H706" t="str">
            <v>SG_03_01 Sun Glass Hut_Silver_OWNED</v>
          </cell>
          <cell r="I706" t="str">
            <v>0000001990 Bower Place</v>
          </cell>
          <cell r="J706" t="str">
            <v>Silver Inline</v>
          </cell>
          <cell r="K706">
            <v>0</v>
          </cell>
        </row>
        <row r="707">
          <cell r="C707">
            <v>1999</v>
          </cell>
          <cell r="D707" t="str">
            <v>Core</v>
          </cell>
          <cell r="E707" t="str">
            <v>Silver</v>
          </cell>
          <cell r="F707" t="str">
            <v>Silver Inline</v>
          </cell>
          <cell r="G707" t="str">
            <v>Core</v>
          </cell>
          <cell r="H707" t="str">
            <v>SG_03_01 Sun Glass Hut_Silver_OWNED</v>
          </cell>
          <cell r="I707" t="str">
            <v>0000001999 Market Place Shopping Center</v>
          </cell>
          <cell r="J707" t="str">
            <v>Silver Inline</v>
          </cell>
          <cell r="K707">
            <v>0</v>
          </cell>
        </row>
        <row r="708">
          <cell r="C708">
            <v>2001</v>
          </cell>
          <cell r="D708" t="str">
            <v>Core</v>
          </cell>
          <cell r="E708" t="str">
            <v>Silver</v>
          </cell>
          <cell r="F708" t="str">
            <v>Silver Kiosk</v>
          </cell>
          <cell r="G708" t="str">
            <v>Core</v>
          </cell>
          <cell r="H708" t="str">
            <v>SG_03_01 Sun Glass Hut_Silver_OWNED</v>
          </cell>
          <cell r="I708" t="str">
            <v>0000002001 Greenwood Park Mall</v>
          </cell>
          <cell r="J708" t="str">
            <v>Silver Kiosk</v>
          </cell>
          <cell r="K708">
            <v>0</v>
          </cell>
        </row>
        <row r="709">
          <cell r="C709">
            <v>2008</v>
          </cell>
          <cell r="D709" t="str">
            <v>Core</v>
          </cell>
          <cell r="E709" t="str">
            <v>Silver</v>
          </cell>
          <cell r="F709" t="str">
            <v>Silver Kiosk</v>
          </cell>
          <cell r="G709" t="str">
            <v>Core</v>
          </cell>
          <cell r="H709" t="str">
            <v>SG_03_01 Sun Glass Hut_Silver_OWNED</v>
          </cell>
          <cell r="I709" t="str">
            <v>0000002008 Eastland Mall</v>
          </cell>
          <cell r="J709" t="str">
            <v>Silver Kiosk</v>
          </cell>
          <cell r="K709">
            <v>0</v>
          </cell>
        </row>
        <row r="710">
          <cell r="C710">
            <v>2010</v>
          </cell>
          <cell r="D710" t="str">
            <v>Core</v>
          </cell>
          <cell r="E710" t="str">
            <v>Silver</v>
          </cell>
          <cell r="F710" t="str">
            <v>Silver Kiosk</v>
          </cell>
          <cell r="G710" t="str">
            <v>Core</v>
          </cell>
          <cell r="H710" t="str">
            <v>SG_03_01 Sun Glass Hut_Silver_OWNED</v>
          </cell>
          <cell r="I710" t="str">
            <v>0000002010 White Oaks Mall</v>
          </cell>
          <cell r="J710" t="str">
            <v>Silver Kiosk</v>
          </cell>
          <cell r="K710">
            <v>0</v>
          </cell>
        </row>
        <row r="711">
          <cell r="C711">
            <v>2013</v>
          </cell>
          <cell r="D711" t="str">
            <v>Core</v>
          </cell>
          <cell r="E711" t="str">
            <v>Silver</v>
          </cell>
          <cell r="F711" t="str">
            <v>Silver Kiosk</v>
          </cell>
          <cell r="G711" t="str">
            <v>Core</v>
          </cell>
          <cell r="H711" t="str">
            <v>SG_03_01 Sun Glass Hut_Silver_OWNED</v>
          </cell>
          <cell r="I711" t="str">
            <v>0000002013 Tippecanoe Mall</v>
          </cell>
          <cell r="J711" t="str">
            <v>Silver Kiosk</v>
          </cell>
          <cell r="K711">
            <v>0</v>
          </cell>
        </row>
        <row r="712">
          <cell r="C712">
            <v>2015</v>
          </cell>
          <cell r="D712" t="str">
            <v>Core</v>
          </cell>
          <cell r="E712" t="str">
            <v>Silver</v>
          </cell>
          <cell r="F712" t="str">
            <v>Silver Kiosk</v>
          </cell>
          <cell r="G712" t="str">
            <v>Core</v>
          </cell>
          <cell r="H712" t="str">
            <v>SG_03_01 Sun Glass Hut_Silver_OWNED</v>
          </cell>
          <cell r="I712" t="str">
            <v>0000002015 Northwoods Mall</v>
          </cell>
          <cell r="J712" t="str">
            <v>Silver Kiosk</v>
          </cell>
          <cell r="K712">
            <v>0</v>
          </cell>
        </row>
        <row r="713">
          <cell r="C713">
            <v>2017</v>
          </cell>
          <cell r="D713" t="str">
            <v>Core</v>
          </cell>
          <cell r="E713" t="str">
            <v>Silver</v>
          </cell>
          <cell r="F713" t="str">
            <v>Silver Kiosk</v>
          </cell>
          <cell r="G713" t="str">
            <v>Core</v>
          </cell>
          <cell r="H713" t="str">
            <v>SG_03_01 Sun Glass Hut_Silver_OWNED</v>
          </cell>
          <cell r="I713" t="str">
            <v>0000002017 Eastland Mall</v>
          </cell>
          <cell r="J713" t="str">
            <v>Silver Kiosk</v>
          </cell>
          <cell r="K713">
            <v>0</v>
          </cell>
        </row>
        <row r="714">
          <cell r="C714">
            <v>2022</v>
          </cell>
          <cell r="D714" t="str">
            <v>Core</v>
          </cell>
          <cell r="E714" t="str">
            <v>Silver</v>
          </cell>
          <cell r="F714" t="str">
            <v>Silver Kiosk</v>
          </cell>
          <cell r="G714" t="str">
            <v>Core</v>
          </cell>
          <cell r="H714" t="str">
            <v>SG_03_01 Sun Glass Hut_Silver_OWNED</v>
          </cell>
          <cell r="I714" t="str">
            <v>0000002022 CherryVale Mall</v>
          </cell>
          <cell r="J714" t="str">
            <v>Silver Kiosk</v>
          </cell>
          <cell r="K714">
            <v>0</v>
          </cell>
        </row>
        <row r="715">
          <cell r="C715">
            <v>2033</v>
          </cell>
          <cell r="D715" t="str">
            <v>Core</v>
          </cell>
          <cell r="E715" t="str">
            <v>Silver</v>
          </cell>
          <cell r="F715" t="str">
            <v>Silver Inline</v>
          </cell>
          <cell r="G715" t="str">
            <v>Core</v>
          </cell>
          <cell r="H715" t="str">
            <v>SG_03_01 Sun Glass Hut_Silver_OWNED</v>
          </cell>
          <cell r="I715" t="str">
            <v>0000002033 Southlake Mall</v>
          </cell>
          <cell r="J715" t="str">
            <v>Silver Inline</v>
          </cell>
          <cell r="K715">
            <v>0</v>
          </cell>
        </row>
        <row r="716">
          <cell r="C716">
            <v>2034</v>
          </cell>
          <cell r="D716" t="str">
            <v>Core</v>
          </cell>
          <cell r="E716" t="str">
            <v>Silver</v>
          </cell>
          <cell r="F716" t="str">
            <v>Silver Inline</v>
          </cell>
          <cell r="G716" t="str">
            <v>Core</v>
          </cell>
          <cell r="H716" t="str">
            <v>SG_03_01 Sun Glass Hut_Silver_OWNED</v>
          </cell>
          <cell r="I716" t="str">
            <v>0000002034 Battlefield Mall</v>
          </cell>
          <cell r="J716" t="str">
            <v>Silver Inline</v>
          </cell>
          <cell r="K716">
            <v>0</v>
          </cell>
        </row>
        <row r="717">
          <cell r="C717">
            <v>2035</v>
          </cell>
          <cell r="D717" t="str">
            <v>Core</v>
          </cell>
          <cell r="E717" t="str">
            <v>Silver</v>
          </cell>
          <cell r="F717" t="str">
            <v>Silver Kiosk</v>
          </cell>
          <cell r="G717" t="str">
            <v>Core</v>
          </cell>
          <cell r="H717" t="str">
            <v>SG_03_01 Sun Glass Hut_Silver_OWNED</v>
          </cell>
          <cell r="I717" t="str">
            <v>0000002035 Columbia Mall</v>
          </cell>
          <cell r="J717" t="str">
            <v>Silver Kiosk</v>
          </cell>
          <cell r="K717">
            <v>0</v>
          </cell>
        </row>
        <row r="718">
          <cell r="C718">
            <v>2036</v>
          </cell>
          <cell r="D718" t="str">
            <v>Core</v>
          </cell>
          <cell r="E718" t="str">
            <v>Silver</v>
          </cell>
          <cell r="F718" t="str">
            <v>Silver Kiosk</v>
          </cell>
          <cell r="G718" t="str">
            <v>Core</v>
          </cell>
          <cell r="H718" t="str">
            <v>SG_03_01 Sun Glass Hut_Silver_OWNED</v>
          </cell>
          <cell r="I718" t="str">
            <v>0000002036 Independence Center</v>
          </cell>
          <cell r="J718" t="str">
            <v>Silver Kiosk</v>
          </cell>
          <cell r="K718">
            <v>0</v>
          </cell>
        </row>
        <row r="719">
          <cell r="C719">
            <v>2037</v>
          </cell>
          <cell r="D719" t="str">
            <v>Core</v>
          </cell>
          <cell r="E719" t="str">
            <v>Silver</v>
          </cell>
          <cell r="F719" t="str">
            <v>Silver Inline</v>
          </cell>
          <cell r="G719" t="str">
            <v>Core</v>
          </cell>
          <cell r="H719" t="str">
            <v>SG_03_01 Sun Glass Hut_Silver_OWNED</v>
          </cell>
          <cell r="I719" t="str">
            <v>0000002037 West Ridge Mall</v>
          </cell>
          <cell r="J719" t="str">
            <v>Silver Inline</v>
          </cell>
          <cell r="K719">
            <v>0</v>
          </cell>
        </row>
        <row r="720">
          <cell r="C720">
            <v>2038</v>
          </cell>
          <cell r="D720" t="str">
            <v>Core</v>
          </cell>
          <cell r="E720" t="str">
            <v>Silver</v>
          </cell>
          <cell r="F720" t="str">
            <v>Silver Kiosk</v>
          </cell>
          <cell r="G720" t="str">
            <v>Core</v>
          </cell>
          <cell r="H720" t="str">
            <v>SG_03_01 Sun Glass Hut_Silver_OWNED</v>
          </cell>
          <cell r="I720" t="str">
            <v>0000002038 Oak Park Mall</v>
          </cell>
          <cell r="J720" t="str">
            <v>Silver Kiosk</v>
          </cell>
          <cell r="K720">
            <v>0</v>
          </cell>
        </row>
        <row r="721">
          <cell r="C721">
            <v>2039</v>
          </cell>
          <cell r="D721" t="str">
            <v>Core</v>
          </cell>
          <cell r="E721" t="str">
            <v>Silver</v>
          </cell>
          <cell r="F721" t="str">
            <v>Silver Inline</v>
          </cell>
          <cell r="G721" t="str">
            <v>Core</v>
          </cell>
          <cell r="H721" t="str">
            <v>SG_03_01 Sun Glass Hut_Silver_OWNED</v>
          </cell>
          <cell r="I721" t="str">
            <v>0000002039 Towne West Square</v>
          </cell>
          <cell r="J721" t="str">
            <v>Silver Inline</v>
          </cell>
          <cell r="K721">
            <v>0</v>
          </cell>
        </row>
        <row r="722">
          <cell r="C722">
            <v>2040</v>
          </cell>
          <cell r="D722" t="str">
            <v>Core</v>
          </cell>
          <cell r="E722" t="str">
            <v>Silver</v>
          </cell>
          <cell r="F722" t="str">
            <v>Silver Inline</v>
          </cell>
          <cell r="G722" t="str">
            <v>Core</v>
          </cell>
          <cell r="H722" t="str">
            <v>SG_03_01 Sun Glass Hut_Silver_OWNED</v>
          </cell>
          <cell r="I722" t="str">
            <v>0000002040 Towne East Square</v>
          </cell>
          <cell r="J722" t="str">
            <v>Silver Inline</v>
          </cell>
          <cell r="K722">
            <v>0</v>
          </cell>
        </row>
        <row r="723">
          <cell r="C723">
            <v>2041</v>
          </cell>
          <cell r="D723" t="str">
            <v>Core</v>
          </cell>
          <cell r="E723" t="str">
            <v>Silver</v>
          </cell>
          <cell r="F723" t="str">
            <v>Silver Kiosk</v>
          </cell>
          <cell r="G723" t="str">
            <v>Core</v>
          </cell>
          <cell r="H723" t="str">
            <v>SG_03_01 Sun Glass Hut_Silver_OWNED</v>
          </cell>
          <cell r="I723" t="str">
            <v>0000002041 NorthPark Mall</v>
          </cell>
          <cell r="J723" t="str">
            <v>Silver Kiosk</v>
          </cell>
          <cell r="K723">
            <v>0</v>
          </cell>
        </row>
        <row r="724">
          <cell r="C724">
            <v>2043</v>
          </cell>
          <cell r="D724" t="str">
            <v>Core</v>
          </cell>
          <cell r="E724" t="str">
            <v>Silver</v>
          </cell>
          <cell r="F724" t="str">
            <v>Silver Inline</v>
          </cell>
          <cell r="G724" t="str">
            <v>Core</v>
          </cell>
          <cell r="H724" t="str">
            <v>SG_03_01 Sun Glass Hut_Silver_OWNED</v>
          </cell>
          <cell r="I724" t="str">
            <v>0000002043 Valley West Mall</v>
          </cell>
          <cell r="J724" t="str">
            <v>Silver Inline</v>
          </cell>
          <cell r="K724">
            <v>0</v>
          </cell>
        </row>
        <row r="725">
          <cell r="C725">
            <v>2047</v>
          </cell>
          <cell r="D725" t="str">
            <v>Core</v>
          </cell>
          <cell r="E725" t="str">
            <v>Silver</v>
          </cell>
          <cell r="F725" t="str">
            <v>Silver Kiosk</v>
          </cell>
          <cell r="G725" t="str">
            <v>Core</v>
          </cell>
          <cell r="H725" t="str">
            <v>SG_03_01 Sun Glass Hut_Silver_OWNED</v>
          </cell>
          <cell r="I725" t="str">
            <v>0000002047 St Clair Square</v>
          </cell>
          <cell r="J725" t="str">
            <v>Silver Kiosk</v>
          </cell>
          <cell r="K725">
            <v>0</v>
          </cell>
        </row>
        <row r="726">
          <cell r="C726">
            <v>2048</v>
          </cell>
          <cell r="D726" t="str">
            <v>Core</v>
          </cell>
          <cell r="E726" t="str">
            <v>Silver</v>
          </cell>
          <cell r="F726" t="str">
            <v>Silver Kiosk</v>
          </cell>
          <cell r="G726" t="str">
            <v>Core</v>
          </cell>
          <cell r="H726" t="str">
            <v>SG_03_01 Sun Glass Hut_Silver_OWNED</v>
          </cell>
          <cell r="I726" t="str">
            <v>0000002048 Green Tree Mall</v>
          </cell>
          <cell r="J726" t="str">
            <v>Silver Kiosk</v>
          </cell>
          <cell r="K726">
            <v>0</v>
          </cell>
        </row>
        <row r="727">
          <cell r="C727">
            <v>2056</v>
          </cell>
          <cell r="D727" t="str">
            <v>Core</v>
          </cell>
          <cell r="E727" t="str">
            <v>Silver</v>
          </cell>
          <cell r="F727" t="str">
            <v>Silver Kiosk</v>
          </cell>
          <cell r="G727" t="str">
            <v>Core</v>
          </cell>
          <cell r="H727" t="str">
            <v>SG_03_01 Sun Glass Hut_Silver_OWNED</v>
          </cell>
          <cell r="I727" t="str">
            <v>0000002056 Lindale Mall</v>
          </cell>
          <cell r="J727" t="str">
            <v>Silver Kiosk</v>
          </cell>
          <cell r="K727">
            <v>0</v>
          </cell>
        </row>
        <row r="728">
          <cell r="C728">
            <v>2062</v>
          </cell>
          <cell r="D728" t="str">
            <v>Core</v>
          </cell>
          <cell r="E728" t="str">
            <v>Silver</v>
          </cell>
          <cell r="F728" t="str">
            <v>Silver Inline</v>
          </cell>
          <cell r="G728" t="str">
            <v>Core</v>
          </cell>
          <cell r="H728" t="str">
            <v>SG_03_01 Sun Glass Hut_Silver_OWNED</v>
          </cell>
          <cell r="I728" t="str">
            <v>0000002062 Sooner Mall</v>
          </cell>
          <cell r="J728" t="str">
            <v>Silver Inline</v>
          </cell>
          <cell r="K728">
            <v>0</v>
          </cell>
        </row>
        <row r="729">
          <cell r="C729">
            <v>2068</v>
          </cell>
          <cell r="D729" t="str">
            <v>Core</v>
          </cell>
          <cell r="E729" t="str">
            <v>Silver</v>
          </cell>
          <cell r="F729" t="str">
            <v>Silver Inline</v>
          </cell>
          <cell r="G729" t="str">
            <v>Core</v>
          </cell>
          <cell r="H729" t="str">
            <v>SG_03_01 Sun Glass Hut_Silver_OWNED</v>
          </cell>
          <cell r="I729" t="str">
            <v>0000002068 Parkdale Mall</v>
          </cell>
          <cell r="J729" t="str">
            <v>Silver Inline</v>
          </cell>
          <cell r="K729">
            <v>0</v>
          </cell>
        </row>
        <row r="730">
          <cell r="C730">
            <v>2081</v>
          </cell>
          <cell r="D730" t="str">
            <v>Core</v>
          </cell>
          <cell r="E730" t="str">
            <v>Silver</v>
          </cell>
          <cell r="F730" t="str">
            <v>Silver Inline</v>
          </cell>
          <cell r="G730" t="str">
            <v>Core</v>
          </cell>
          <cell r="H730" t="str">
            <v>SG_03_01 Sun Glass Hut_Silver_OWNED</v>
          </cell>
          <cell r="I730" t="str">
            <v>0000002081 Oak View Mall</v>
          </cell>
          <cell r="J730" t="str">
            <v>Silver Inline</v>
          </cell>
          <cell r="K730">
            <v>0</v>
          </cell>
        </row>
        <row r="731">
          <cell r="C731">
            <v>2082</v>
          </cell>
          <cell r="D731" t="str">
            <v>Core</v>
          </cell>
          <cell r="E731" t="str">
            <v>Silver</v>
          </cell>
          <cell r="F731" t="str">
            <v>Silver Kiosk</v>
          </cell>
          <cell r="G731" t="str">
            <v>Core</v>
          </cell>
          <cell r="H731" t="str">
            <v>SG_03_01 Sun Glass Hut_Silver_OWNED</v>
          </cell>
          <cell r="I731" t="str">
            <v>0000002082 Frontier Mall</v>
          </cell>
          <cell r="J731" t="str">
            <v>Silver Kiosk</v>
          </cell>
          <cell r="K731">
            <v>0</v>
          </cell>
        </row>
        <row r="732">
          <cell r="C732">
            <v>2086</v>
          </cell>
          <cell r="D732" t="str">
            <v>Core</v>
          </cell>
          <cell r="E732" t="str">
            <v>Silver</v>
          </cell>
          <cell r="F732" t="str">
            <v>Silver Kiosk</v>
          </cell>
          <cell r="G732" t="str">
            <v>Core</v>
          </cell>
          <cell r="H732" t="str">
            <v>SG_03_01 Sun Glass Hut_Silver_OWNED</v>
          </cell>
          <cell r="I732" t="str">
            <v>0000002086 Old Hickory Mall</v>
          </cell>
          <cell r="J732" t="str">
            <v>Silver Kiosk</v>
          </cell>
          <cell r="K732">
            <v>0</v>
          </cell>
        </row>
        <row r="733">
          <cell r="C733">
            <v>2091</v>
          </cell>
          <cell r="D733" t="str">
            <v>Core</v>
          </cell>
          <cell r="E733" t="str">
            <v>Silver</v>
          </cell>
          <cell r="F733" t="str">
            <v>Silver Kiosk</v>
          </cell>
          <cell r="G733" t="str">
            <v>Core</v>
          </cell>
          <cell r="H733" t="str">
            <v>SG_03_01 Sun Glass Hut_Silver_OWNED</v>
          </cell>
          <cell r="I733" t="str">
            <v>0000002091 Morgantown Mall</v>
          </cell>
          <cell r="J733" t="str">
            <v>Silver Kiosk</v>
          </cell>
          <cell r="K733">
            <v>0</v>
          </cell>
        </row>
        <row r="734">
          <cell r="C734">
            <v>2104</v>
          </cell>
          <cell r="D734" t="str">
            <v>Core</v>
          </cell>
          <cell r="E734" t="str">
            <v>Silver</v>
          </cell>
          <cell r="F734" t="str">
            <v>Silver Kiosk</v>
          </cell>
          <cell r="G734" t="str">
            <v>Core</v>
          </cell>
          <cell r="H734" t="str">
            <v>SG_03_01 Sun Glass Hut_Silver_OWNED</v>
          </cell>
          <cell r="I734" t="str">
            <v>0000002104 Nittany Mall</v>
          </cell>
          <cell r="J734" t="str">
            <v>Silver Kiosk</v>
          </cell>
          <cell r="K734">
            <v>0</v>
          </cell>
        </row>
        <row r="735">
          <cell r="C735">
            <v>2110</v>
          </cell>
          <cell r="D735" t="str">
            <v>Core</v>
          </cell>
          <cell r="E735" t="str">
            <v>Silver</v>
          </cell>
          <cell r="F735" t="str">
            <v>Silver Inline</v>
          </cell>
          <cell r="G735" t="str">
            <v>Core</v>
          </cell>
          <cell r="H735" t="str">
            <v>SG_03_01 Sun Glass Hut_Silver_OWNED</v>
          </cell>
          <cell r="I735" t="str">
            <v>0000002110 York Galleria</v>
          </cell>
          <cell r="J735" t="str">
            <v>Silver Inline</v>
          </cell>
          <cell r="K735">
            <v>0</v>
          </cell>
        </row>
        <row r="736">
          <cell r="C736">
            <v>2112</v>
          </cell>
          <cell r="D736" t="str">
            <v>Core</v>
          </cell>
          <cell r="E736" t="str">
            <v>Silver</v>
          </cell>
          <cell r="F736" t="str">
            <v>Silver Kiosk</v>
          </cell>
          <cell r="G736" t="str">
            <v>Core</v>
          </cell>
          <cell r="H736" t="str">
            <v>SG_03_01 Sun Glass Hut_Silver_OWNED</v>
          </cell>
          <cell r="I736" t="str">
            <v>0000002112 The Mall at Johnson City</v>
          </cell>
          <cell r="J736" t="str">
            <v>Silver Kiosk</v>
          </cell>
          <cell r="K736">
            <v>0</v>
          </cell>
        </row>
        <row r="737">
          <cell r="C737">
            <v>2113</v>
          </cell>
          <cell r="D737" t="str">
            <v>Core</v>
          </cell>
          <cell r="E737" t="str">
            <v>Silver</v>
          </cell>
          <cell r="F737" t="str">
            <v>Silver Kiosk</v>
          </cell>
          <cell r="G737" t="str">
            <v>Core</v>
          </cell>
          <cell r="H737" t="str">
            <v>SG_03_01 Sun Glass Hut_Silver_OWNED</v>
          </cell>
          <cell r="I737" t="str">
            <v>0000002113 Mall Of Abilene</v>
          </cell>
          <cell r="J737" t="str">
            <v>Silver Kiosk</v>
          </cell>
          <cell r="K737">
            <v>0</v>
          </cell>
        </row>
        <row r="738">
          <cell r="C738">
            <v>2117</v>
          </cell>
          <cell r="D738" t="str">
            <v>Core</v>
          </cell>
          <cell r="E738" t="str">
            <v>Silver</v>
          </cell>
          <cell r="F738" t="str">
            <v>Silver Inline</v>
          </cell>
          <cell r="G738" t="str">
            <v>Core</v>
          </cell>
          <cell r="H738" t="str">
            <v>SG_03_01 Sun Glass Hut_Silver_OWNED</v>
          </cell>
          <cell r="I738" t="str">
            <v>0000002117 Belden Village Mall</v>
          </cell>
          <cell r="J738" t="str">
            <v>Silver Inline</v>
          </cell>
          <cell r="K738">
            <v>0</v>
          </cell>
        </row>
        <row r="739">
          <cell r="C739">
            <v>2118</v>
          </cell>
          <cell r="D739" t="str">
            <v>Core</v>
          </cell>
          <cell r="E739" t="str">
            <v>Silver</v>
          </cell>
          <cell r="F739" t="str">
            <v>Silver Inline</v>
          </cell>
          <cell r="G739" t="str">
            <v>Core</v>
          </cell>
          <cell r="H739" t="str">
            <v>SG_03_01 Sun Glass Hut_Silver_OWNED</v>
          </cell>
          <cell r="I739" t="str">
            <v>0000002118 Fayette Mall</v>
          </cell>
          <cell r="J739" t="str">
            <v>Silver Inline</v>
          </cell>
          <cell r="K739">
            <v>0</v>
          </cell>
        </row>
        <row r="740">
          <cell r="C740">
            <v>2125</v>
          </cell>
          <cell r="D740" t="str">
            <v>Core</v>
          </cell>
          <cell r="E740" t="str">
            <v>Silver</v>
          </cell>
          <cell r="F740" t="str">
            <v>Silver Kiosk</v>
          </cell>
          <cell r="G740" t="str">
            <v>Core</v>
          </cell>
          <cell r="H740" t="str">
            <v>SG_03_01 Sun Glass Hut_Silver_OWNED</v>
          </cell>
          <cell r="I740" t="str">
            <v>0000002125 Sangertown Square</v>
          </cell>
          <cell r="J740" t="str">
            <v>Silver Kiosk</v>
          </cell>
          <cell r="K740">
            <v>0</v>
          </cell>
        </row>
        <row r="741">
          <cell r="C741">
            <v>2126</v>
          </cell>
          <cell r="D741" t="str">
            <v>Core</v>
          </cell>
          <cell r="E741" t="str">
            <v>Silver</v>
          </cell>
          <cell r="F741" t="str">
            <v>Silver Kiosk</v>
          </cell>
          <cell r="G741" t="str">
            <v>Core</v>
          </cell>
          <cell r="H741" t="str">
            <v>SG_03_01 Sun Glass Hut_Silver_OWNED</v>
          </cell>
          <cell r="I741" t="str">
            <v>0000002126 Salmon Run Mall</v>
          </cell>
          <cell r="J741" t="str">
            <v>Silver Kiosk</v>
          </cell>
          <cell r="K741">
            <v>0</v>
          </cell>
        </row>
        <row r="742">
          <cell r="C742">
            <v>2132</v>
          </cell>
          <cell r="D742" t="str">
            <v>Core</v>
          </cell>
          <cell r="E742" t="str">
            <v>Silver</v>
          </cell>
          <cell r="F742" t="str">
            <v>Silver Kiosk</v>
          </cell>
          <cell r="G742" t="str">
            <v>Core</v>
          </cell>
          <cell r="H742" t="str">
            <v>SG_03_01 Sun Glass Hut_Silver_OWNED</v>
          </cell>
          <cell r="I742" t="str">
            <v>0000002132 Westmoreland Mall</v>
          </cell>
          <cell r="J742" t="str">
            <v>Silver Kiosk</v>
          </cell>
          <cell r="K742">
            <v>0</v>
          </cell>
        </row>
        <row r="743">
          <cell r="C743">
            <v>2137</v>
          </cell>
          <cell r="D743" t="str">
            <v>Core</v>
          </cell>
          <cell r="E743" t="str">
            <v>Silver</v>
          </cell>
          <cell r="F743" t="str">
            <v>Silver Inline</v>
          </cell>
          <cell r="G743" t="str">
            <v>Core</v>
          </cell>
          <cell r="H743" t="str">
            <v>SG_03_01 Sun Glass Hut_Silver_OWNED</v>
          </cell>
          <cell r="I743" t="str">
            <v>0000002137 Northwest Arkansas Mall</v>
          </cell>
          <cell r="J743" t="str">
            <v>Silver Inline</v>
          </cell>
          <cell r="K743">
            <v>0</v>
          </cell>
        </row>
        <row r="744">
          <cell r="C744">
            <v>2141</v>
          </cell>
          <cell r="D744" t="str">
            <v>Core</v>
          </cell>
          <cell r="E744" t="str">
            <v>Silver</v>
          </cell>
          <cell r="F744" t="str">
            <v>Silver Kiosk</v>
          </cell>
          <cell r="G744" t="str">
            <v>Core</v>
          </cell>
          <cell r="H744" t="str">
            <v>SG_03_01 Sun Glass Hut_Silver_OWNED</v>
          </cell>
          <cell r="I744" t="str">
            <v>0000002141 Kentucky Oaks Mall</v>
          </cell>
          <cell r="J744" t="str">
            <v>Silver Kiosk</v>
          </cell>
          <cell r="K744">
            <v>0</v>
          </cell>
        </row>
        <row r="745">
          <cell r="C745">
            <v>2142</v>
          </cell>
          <cell r="D745" t="str">
            <v>Core</v>
          </cell>
          <cell r="E745" t="str">
            <v>Silver</v>
          </cell>
          <cell r="F745" t="str">
            <v>Silver Kiosk</v>
          </cell>
          <cell r="G745" t="str">
            <v>Core</v>
          </cell>
          <cell r="H745" t="str">
            <v>SG_03_01 Sun Glass Hut_Silver_OWNED</v>
          </cell>
          <cell r="I745" t="str">
            <v>0000002142 Manhattan Town Center</v>
          </cell>
          <cell r="J745" t="str">
            <v>Silver Kiosk</v>
          </cell>
          <cell r="K745">
            <v>0</v>
          </cell>
        </row>
        <row r="746">
          <cell r="C746">
            <v>2145</v>
          </cell>
          <cell r="D746" t="str">
            <v>Core</v>
          </cell>
          <cell r="E746" t="str">
            <v>Silver</v>
          </cell>
          <cell r="F746" t="str">
            <v>Silver Kiosk</v>
          </cell>
          <cell r="G746" t="str">
            <v>Core</v>
          </cell>
          <cell r="H746" t="str">
            <v>SG_03_01 Sun Glass Hut_Silver_OWNED</v>
          </cell>
          <cell r="I746" t="str">
            <v>0000002145 Village Mall</v>
          </cell>
          <cell r="J746" t="str">
            <v>Silver Kiosk</v>
          </cell>
          <cell r="K746">
            <v>0</v>
          </cell>
        </row>
        <row r="747">
          <cell r="C747">
            <v>2152</v>
          </cell>
          <cell r="D747" t="str">
            <v>Core</v>
          </cell>
          <cell r="E747" t="str">
            <v>Silver</v>
          </cell>
          <cell r="F747" t="str">
            <v>Silver Inline</v>
          </cell>
          <cell r="G747" t="str">
            <v>Core</v>
          </cell>
          <cell r="H747" t="str">
            <v>SG_03_01 Sun Glass Hut_Silver_OWNED</v>
          </cell>
          <cell r="I747" t="str">
            <v>0000002152 Lincolnwood Town Center</v>
          </cell>
          <cell r="J747" t="str">
            <v>Silver Inline</v>
          </cell>
          <cell r="K747">
            <v>0</v>
          </cell>
        </row>
        <row r="748">
          <cell r="C748">
            <v>2157</v>
          </cell>
          <cell r="D748" t="str">
            <v>Core</v>
          </cell>
          <cell r="E748" t="str">
            <v>Silver</v>
          </cell>
          <cell r="F748" t="str">
            <v>Silver Kiosk</v>
          </cell>
          <cell r="G748" t="str">
            <v>Core</v>
          </cell>
          <cell r="H748" t="str">
            <v>SG_03_01 Sun Glass Hut_Silver_OWNED</v>
          </cell>
          <cell r="I748" t="str">
            <v>0000002157 Towne Square Mall</v>
          </cell>
          <cell r="J748" t="str">
            <v>Silver Kiosk</v>
          </cell>
          <cell r="K748">
            <v>0</v>
          </cell>
        </row>
        <row r="749">
          <cell r="C749">
            <v>2160</v>
          </cell>
          <cell r="D749" t="str">
            <v>Core</v>
          </cell>
          <cell r="E749" t="str">
            <v>Silver</v>
          </cell>
          <cell r="F749" t="str">
            <v>Silver Kiosk</v>
          </cell>
          <cell r="G749" t="str">
            <v>Core</v>
          </cell>
          <cell r="H749" t="str">
            <v>SG_03_01 Sun Glass Hut_Silver_OWNED</v>
          </cell>
          <cell r="I749" t="str">
            <v>0000002160 Midway Mall</v>
          </cell>
          <cell r="J749" t="str">
            <v>Silver Kiosk</v>
          </cell>
          <cell r="K749">
            <v>0</v>
          </cell>
        </row>
        <row r="750">
          <cell r="C750">
            <v>2163</v>
          </cell>
          <cell r="D750" t="str">
            <v>Core</v>
          </cell>
          <cell r="E750" t="str">
            <v>Silver</v>
          </cell>
          <cell r="F750" t="str">
            <v>Silver Inline</v>
          </cell>
          <cell r="G750" t="str">
            <v>Core</v>
          </cell>
          <cell r="H750" t="str">
            <v>SG_03_01 Sun Glass Hut_Silver_OWNED</v>
          </cell>
          <cell r="I750" t="str">
            <v>0000002163 The Mall at Fairfield Commons</v>
          </cell>
          <cell r="J750" t="str">
            <v>Silver Inline</v>
          </cell>
          <cell r="K750">
            <v>0</v>
          </cell>
        </row>
        <row r="751">
          <cell r="C751">
            <v>2166</v>
          </cell>
          <cell r="D751" t="str">
            <v>Core</v>
          </cell>
          <cell r="E751" t="str">
            <v>Silver</v>
          </cell>
          <cell r="F751" t="str">
            <v>Silver Kiosk</v>
          </cell>
          <cell r="G751" t="str">
            <v>Core</v>
          </cell>
          <cell r="H751" t="str">
            <v>SG_03_01 Sun Glass Hut_Silver_OWNED</v>
          </cell>
          <cell r="I751" t="str">
            <v>0000002166 Patrick Henry Mall</v>
          </cell>
          <cell r="J751" t="str">
            <v>Silver Kiosk</v>
          </cell>
          <cell r="K751">
            <v>0</v>
          </cell>
        </row>
        <row r="752">
          <cell r="C752">
            <v>2168</v>
          </cell>
          <cell r="D752" t="str">
            <v>Core</v>
          </cell>
          <cell r="E752" t="str">
            <v>Silver</v>
          </cell>
          <cell r="F752" t="str">
            <v>Silver Kiosk</v>
          </cell>
          <cell r="G752" t="str">
            <v>Core</v>
          </cell>
          <cell r="H752" t="str">
            <v>SG_03_01 Sun Glass Hut_Silver_OWNED</v>
          </cell>
          <cell r="I752" t="str">
            <v>0000002168 Sunset Mall</v>
          </cell>
          <cell r="J752" t="str">
            <v>Silver Kiosk</v>
          </cell>
          <cell r="K752">
            <v>0</v>
          </cell>
        </row>
        <row r="753">
          <cell r="C753">
            <v>2170</v>
          </cell>
          <cell r="D753" t="str">
            <v>Core</v>
          </cell>
          <cell r="E753" t="str">
            <v>Silver</v>
          </cell>
          <cell r="F753" t="str">
            <v>Silver Inline</v>
          </cell>
          <cell r="G753" t="str">
            <v>Core</v>
          </cell>
          <cell r="H753" t="str">
            <v>SG_03_01 Sun Glass Hut_Silver_OWNED</v>
          </cell>
          <cell r="I753" t="str">
            <v>0000002170 Paddock Mall</v>
          </cell>
          <cell r="J753" t="str">
            <v>Silver Inline</v>
          </cell>
          <cell r="K753">
            <v>0</v>
          </cell>
        </row>
        <row r="754">
          <cell r="C754">
            <v>2174</v>
          </cell>
          <cell r="D754" t="str">
            <v>Core</v>
          </cell>
          <cell r="E754" t="str">
            <v>Silver</v>
          </cell>
          <cell r="F754" t="str">
            <v>Silver Inline</v>
          </cell>
          <cell r="G754" t="str">
            <v>Core</v>
          </cell>
          <cell r="H754" t="str">
            <v>SG_03_01 Sun Glass Hut_Silver_OWNED</v>
          </cell>
          <cell r="I754" t="str">
            <v>0000002174 Four Seasons Town Centre</v>
          </cell>
          <cell r="J754" t="str">
            <v>Silver Inline</v>
          </cell>
          <cell r="K754">
            <v>0</v>
          </cell>
        </row>
        <row r="755">
          <cell r="C755">
            <v>2176</v>
          </cell>
          <cell r="D755" t="str">
            <v>Core</v>
          </cell>
          <cell r="E755" t="str">
            <v>Silver</v>
          </cell>
          <cell r="F755" t="str">
            <v>Silver Kiosk</v>
          </cell>
          <cell r="G755" t="str">
            <v>Core</v>
          </cell>
          <cell r="H755" t="str">
            <v>SG_03_01 Sun Glass Hut_Silver_OWNED</v>
          </cell>
          <cell r="I755" t="str">
            <v>0000002176 Pecanland Mall</v>
          </cell>
          <cell r="J755" t="str">
            <v>Silver Kiosk</v>
          </cell>
          <cell r="K755">
            <v>0</v>
          </cell>
        </row>
        <row r="756">
          <cell r="C756">
            <v>2179</v>
          </cell>
          <cell r="D756" t="str">
            <v>Core</v>
          </cell>
          <cell r="E756" t="str">
            <v>Silver</v>
          </cell>
          <cell r="F756" t="str">
            <v>Silver Kiosk</v>
          </cell>
          <cell r="G756" t="str">
            <v>Core</v>
          </cell>
          <cell r="H756" t="str">
            <v>SG_03_01 Sun Glass Hut_Silver_OWNED</v>
          </cell>
          <cell r="I756" t="str">
            <v>0000002179 Mesilla Valley Mall</v>
          </cell>
          <cell r="J756" t="str">
            <v>Silver Kiosk</v>
          </cell>
          <cell r="K756">
            <v>0</v>
          </cell>
        </row>
        <row r="757">
          <cell r="C757">
            <v>2182</v>
          </cell>
          <cell r="D757" t="str">
            <v>Core</v>
          </cell>
          <cell r="E757" t="str">
            <v>Silver</v>
          </cell>
          <cell r="F757" t="str">
            <v>Silver Inline</v>
          </cell>
          <cell r="G757" t="str">
            <v>Core</v>
          </cell>
          <cell r="H757" t="str">
            <v>SG_03_01 Sun Glass Hut_Silver_OWNED</v>
          </cell>
          <cell r="I757" t="str">
            <v>0000002182 Longview Mall</v>
          </cell>
          <cell r="J757" t="str">
            <v>Silver Inline</v>
          </cell>
          <cell r="K757">
            <v>0</v>
          </cell>
        </row>
        <row r="758">
          <cell r="C758">
            <v>2187</v>
          </cell>
          <cell r="D758" t="str">
            <v>Core</v>
          </cell>
          <cell r="E758" t="str">
            <v>Silver</v>
          </cell>
          <cell r="F758" t="str">
            <v>Silver Kiosk</v>
          </cell>
          <cell r="G758" t="str">
            <v>Core</v>
          </cell>
          <cell r="H758" t="str">
            <v>SG_03_01 Sun Glass Hut_Silver_OWNED</v>
          </cell>
          <cell r="I758" t="str">
            <v>0000002187 University Mall</v>
          </cell>
          <cell r="J758" t="str">
            <v>Silver Kiosk</v>
          </cell>
          <cell r="K758">
            <v>0</v>
          </cell>
        </row>
        <row r="759">
          <cell r="C759">
            <v>2189</v>
          </cell>
          <cell r="D759" t="str">
            <v>Core</v>
          </cell>
          <cell r="E759" t="str">
            <v>Silver</v>
          </cell>
          <cell r="F759" t="str">
            <v>Silver Inline</v>
          </cell>
          <cell r="G759" t="str">
            <v>Core</v>
          </cell>
          <cell r="H759" t="str">
            <v>SG_03_01 Sun Glass Hut_Silver_OWNED</v>
          </cell>
          <cell r="I759" t="str">
            <v>0000002189 West Town Mall</v>
          </cell>
          <cell r="J759" t="str">
            <v>Silver Inline</v>
          </cell>
          <cell r="K759">
            <v>0</v>
          </cell>
        </row>
        <row r="760">
          <cell r="C760">
            <v>2191</v>
          </cell>
          <cell r="D760" t="str">
            <v>Core</v>
          </cell>
          <cell r="E760" t="str">
            <v>Silver</v>
          </cell>
          <cell r="F760" t="str">
            <v>Silver Inline</v>
          </cell>
          <cell r="G760" t="str">
            <v>Core</v>
          </cell>
          <cell r="H760" t="str">
            <v>SG_03_01 Sun Glass Hut_Silver_OWNED</v>
          </cell>
          <cell r="I760" t="str">
            <v>0000002191 Regency Square Mall</v>
          </cell>
          <cell r="J760" t="str">
            <v>Silver Inline</v>
          </cell>
          <cell r="K760">
            <v>0</v>
          </cell>
        </row>
        <row r="761">
          <cell r="C761">
            <v>2192</v>
          </cell>
          <cell r="D761" t="str">
            <v>Core</v>
          </cell>
          <cell r="E761" t="str">
            <v>Silver</v>
          </cell>
          <cell r="F761" t="str">
            <v>Silver Kiosk</v>
          </cell>
          <cell r="G761" t="str">
            <v>Core</v>
          </cell>
          <cell r="H761" t="str">
            <v>SG_03_01 Sun Glass Hut_Silver_OWNED</v>
          </cell>
          <cell r="I761" t="str">
            <v>0000002192 West Park Mall</v>
          </cell>
          <cell r="J761" t="str">
            <v>Silver Kiosk</v>
          </cell>
          <cell r="K761">
            <v>0</v>
          </cell>
        </row>
        <row r="762">
          <cell r="C762">
            <v>2193</v>
          </cell>
          <cell r="D762" t="str">
            <v>Core</v>
          </cell>
          <cell r="E762" t="str">
            <v>Silver</v>
          </cell>
          <cell r="F762" t="str">
            <v>Silver Kiosk</v>
          </cell>
          <cell r="G762" t="str">
            <v>Core</v>
          </cell>
          <cell r="H762" t="str">
            <v>SG_03_01 Sun Glass Hut_Silver_OWNED</v>
          </cell>
          <cell r="I762" t="str">
            <v>0000002193 Columbia Mall</v>
          </cell>
          <cell r="J762" t="str">
            <v>Silver Kiosk</v>
          </cell>
          <cell r="K762">
            <v>0</v>
          </cell>
        </row>
        <row r="763">
          <cell r="C763">
            <v>2195</v>
          </cell>
          <cell r="D763" t="str">
            <v>Core</v>
          </cell>
          <cell r="E763" t="str">
            <v>Silver</v>
          </cell>
          <cell r="F763" t="str">
            <v>Silver Kiosk</v>
          </cell>
          <cell r="G763" t="str">
            <v>Core</v>
          </cell>
          <cell r="H763" t="str">
            <v>SG_03_01 Sun Glass Hut_Silver_OWNED</v>
          </cell>
          <cell r="I763" t="str">
            <v>0000002195 Hot Springs Mall</v>
          </cell>
          <cell r="J763" t="str">
            <v>Silver Kiosk</v>
          </cell>
          <cell r="K763">
            <v>0</v>
          </cell>
        </row>
        <row r="764">
          <cell r="C764">
            <v>2205</v>
          </cell>
          <cell r="D764" t="str">
            <v>Core</v>
          </cell>
          <cell r="E764" t="str">
            <v>Silver</v>
          </cell>
          <cell r="F764" t="str">
            <v>Silver Kiosk</v>
          </cell>
          <cell r="G764" t="str">
            <v>Core</v>
          </cell>
          <cell r="H764" t="str">
            <v>SG_03_01 Sun Glass Hut_Silver_OWNED</v>
          </cell>
          <cell r="I764" t="str">
            <v>0000002205 East Towne Mall</v>
          </cell>
          <cell r="J764" t="str">
            <v>Silver Kiosk</v>
          </cell>
          <cell r="K764">
            <v>0</v>
          </cell>
        </row>
        <row r="765">
          <cell r="C765">
            <v>2206</v>
          </cell>
          <cell r="D765" t="str">
            <v>Core</v>
          </cell>
          <cell r="E765" t="str">
            <v>Silver</v>
          </cell>
          <cell r="F765" t="str">
            <v>Silver Inline</v>
          </cell>
          <cell r="G765" t="str">
            <v>Core</v>
          </cell>
          <cell r="H765" t="str">
            <v>SG_03_01 Sun Glass Hut_Silver_OWNED</v>
          </cell>
          <cell r="I765" t="str">
            <v>0000002206 The Centre at Salisbury</v>
          </cell>
          <cell r="J765" t="str">
            <v>Silver Inline</v>
          </cell>
          <cell r="K765">
            <v>0</v>
          </cell>
        </row>
        <row r="766">
          <cell r="C766">
            <v>2207</v>
          </cell>
          <cell r="D766" t="str">
            <v>Core</v>
          </cell>
          <cell r="E766" t="str">
            <v>Silver</v>
          </cell>
          <cell r="F766" t="str">
            <v>Silver Kiosk</v>
          </cell>
          <cell r="G766" t="str">
            <v>Core</v>
          </cell>
          <cell r="H766" t="str">
            <v>SG_03_01 Sun Glass Hut_Silver_OWNED</v>
          </cell>
          <cell r="I766" t="str">
            <v>0000002207 Magnolia Mall</v>
          </cell>
          <cell r="J766" t="str">
            <v>Silver Kiosk</v>
          </cell>
          <cell r="K766">
            <v>0</v>
          </cell>
        </row>
        <row r="767">
          <cell r="C767">
            <v>2211</v>
          </cell>
          <cell r="D767" t="str">
            <v>Core</v>
          </cell>
          <cell r="E767" t="str">
            <v>Silver</v>
          </cell>
          <cell r="F767" t="str">
            <v>Silver Inline</v>
          </cell>
          <cell r="G767" t="str">
            <v>Core</v>
          </cell>
          <cell r="H767" t="str">
            <v>SG_03_01 Sun Glass Hut_Silver_OWNED</v>
          </cell>
          <cell r="I767" t="str">
            <v>0000002211 Burlington Town Center</v>
          </cell>
          <cell r="J767" t="str">
            <v>Silver Inline</v>
          </cell>
          <cell r="K767">
            <v>0</v>
          </cell>
        </row>
        <row r="768">
          <cell r="C768">
            <v>2215</v>
          </cell>
          <cell r="D768" t="str">
            <v>Core</v>
          </cell>
          <cell r="E768" t="str">
            <v>Silver</v>
          </cell>
          <cell r="F768" t="str">
            <v>Silver Inline</v>
          </cell>
          <cell r="G768" t="str">
            <v>Core</v>
          </cell>
          <cell r="H768" t="str">
            <v>SG_03_01 Sun Glass Hut_Silver_OWNED</v>
          </cell>
          <cell r="I768" t="str">
            <v>0000002215 Valley View Mall</v>
          </cell>
          <cell r="J768" t="str">
            <v>Silver Inline</v>
          </cell>
          <cell r="K768">
            <v>0</v>
          </cell>
        </row>
        <row r="769">
          <cell r="C769">
            <v>2217</v>
          </cell>
          <cell r="D769" t="str">
            <v>Core</v>
          </cell>
          <cell r="E769" t="str">
            <v>Silver</v>
          </cell>
          <cell r="F769" t="str">
            <v>Silver Kiosk</v>
          </cell>
          <cell r="G769" t="str">
            <v>Core</v>
          </cell>
          <cell r="H769" t="str">
            <v>SG_03_01 Sun Glass Hut_Silver_OWNED</v>
          </cell>
          <cell r="I769" t="str">
            <v>0000002217 Rimrock Mall</v>
          </cell>
          <cell r="J769" t="str">
            <v>Silver Kiosk</v>
          </cell>
          <cell r="K769">
            <v>0</v>
          </cell>
        </row>
        <row r="770">
          <cell r="C770">
            <v>2224</v>
          </cell>
          <cell r="D770" t="str">
            <v>Core</v>
          </cell>
          <cell r="E770" t="str">
            <v>Silver</v>
          </cell>
          <cell r="F770" t="str">
            <v>Silver Inline</v>
          </cell>
          <cell r="G770" t="str">
            <v>Core</v>
          </cell>
          <cell r="H770" t="str">
            <v>SG_03_01 Sun Glass Hut_Silver_OWNED</v>
          </cell>
          <cell r="I770" t="str">
            <v>0000002224 South County Center</v>
          </cell>
          <cell r="J770" t="str">
            <v>Silver Inline</v>
          </cell>
          <cell r="K770">
            <v>0</v>
          </cell>
        </row>
        <row r="771">
          <cell r="C771">
            <v>2237</v>
          </cell>
          <cell r="D771" t="str">
            <v>Core</v>
          </cell>
          <cell r="E771" t="str">
            <v>Silver</v>
          </cell>
          <cell r="F771" t="str">
            <v>Silver Kiosk</v>
          </cell>
          <cell r="G771" t="str">
            <v>Core</v>
          </cell>
          <cell r="H771" t="str">
            <v>SG_03_01 Sun Glass Hut_Silver_OWNED</v>
          </cell>
          <cell r="I771" t="str">
            <v>0000002237 Governors Square Mall</v>
          </cell>
          <cell r="J771" t="str">
            <v>Silver Kiosk</v>
          </cell>
          <cell r="K771">
            <v>0</v>
          </cell>
        </row>
        <row r="772">
          <cell r="C772">
            <v>2240</v>
          </cell>
          <cell r="D772" t="str">
            <v>Core</v>
          </cell>
          <cell r="E772" t="str">
            <v>Silver</v>
          </cell>
          <cell r="F772" t="str">
            <v>Silver Inline</v>
          </cell>
          <cell r="G772" t="str">
            <v>Core</v>
          </cell>
          <cell r="H772" t="str">
            <v>SG_03_01 Sun Glass Hut_Silver_OWNED</v>
          </cell>
          <cell r="I772" t="str">
            <v>0000002240 Mid Rivers Mall</v>
          </cell>
          <cell r="J772" t="str">
            <v>Silver Inline</v>
          </cell>
          <cell r="K772">
            <v>0</v>
          </cell>
        </row>
        <row r="773">
          <cell r="C773">
            <v>2242</v>
          </cell>
          <cell r="D773" t="str">
            <v>Core</v>
          </cell>
          <cell r="E773" t="str">
            <v>Silver</v>
          </cell>
          <cell r="F773" t="str">
            <v>Silver Kiosk</v>
          </cell>
          <cell r="G773" t="str">
            <v>Core</v>
          </cell>
          <cell r="H773" t="str">
            <v>SG_03_01 Sun Glass Hut_Silver_OWNED</v>
          </cell>
          <cell r="I773" t="str">
            <v>0000002242 Magic Valley Mall</v>
          </cell>
          <cell r="J773" t="str">
            <v>Silver Kiosk</v>
          </cell>
          <cell r="K773">
            <v>0</v>
          </cell>
        </row>
        <row r="774">
          <cell r="C774">
            <v>2256</v>
          </cell>
          <cell r="D774" t="str">
            <v>Core</v>
          </cell>
          <cell r="E774" t="str">
            <v>Silver</v>
          </cell>
          <cell r="F774" t="str">
            <v>Silver Inline</v>
          </cell>
          <cell r="G774" t="str">
            <v>Core</v>
          </cell>
          <cell r="H774" t="str">
            <v>SG_03_01 Sun Glass Hut_Silver_OWNED</v>
          </cell>
          <cell r="I774" t="str">
            <v>0000002256 Steeplegate Mall</v>
          </cell>
          <cell r="J774" t="str">
            <v>Silver Inline</v>
          </cell>
          <cell r="K774">
            <v>0</v>
          </cell>
        </row>
        <row r="775">
          <cell r="C775">
            <v>2257</v>
          </cell>
          <cell r="D775" t="str">
            <v>Core</v>
          </cell>
          <cell r="E775" t="str">
            <v>Silver</v>
          </cell>
          <cell r="F775" t="str">
            <v>Silver Inline</v>
          </cell>
          <cell r="G775" t="str">
            <v>Core</v>
          </cell>
          <cell r="H775" t="str">
            <v>SG_03_01 Sun Glass Hut_Silver_OWNED</v>
          </cell>
          <cell r="I775" t="str">
            <v>0000002257 Natick Mall</v>
          </cell>
          <cell r="J775" t="str">
            <v>Silver Inline</v>
          </cell>
          <cell r="K775">
            <v>0</v>
          </cell>
        </row>
        <row r="776">
          <cell r="C776">
            <v>2276</v>
          </cell>
          <cell r="D776" t="str">
            <v>Core</v>
          </cell>
          <cell r="E776" t="str">
            <v>Silver</v>
          </cell>
          <cell r="F776" t="str">
            <v>Silver Kiosk</v>
          </cell>
          <cell r="G776" t="str">
            <v>Core</v>
          </cell>
          <cell r="H776" t="str">
            <v>SG_03_01 Sun Glass Hut_Silver_OWNED</v>
          </cell>
          <cell r="I776" t="str">
            <v>0000002276 Miller Hill Mall</v>
          </cell>
          <cell r="J776" t="str">
            <v>Silver Kiosk</v>
          </cell>
          <cell r="K776">
            <v>0</v>
          </cell>
        </row>
        <row r="777">
          <cell r="C777">
            <v>2287</v>
          </cell>
          <cell r="D777" t="str">
            <v>Core</v>
          </cell>
          <cell r="E777" t="str">
            <v>Silver</v>
          </cell>
          <cell r="F777" t="str">
            <v>Silver Kiosk</v>
          </cell>
          <cell r="G777" t="str">
            <v>Core</v>
          </cell>
          <cell r="H777" t="str">
            <v>SG_03_01 Sun Glass Hut_Silver_OWNED</v>
          </cell>
          <cell r="I777" t="str">
            <v>0000002287 Grand Teton Mall</v>
          </cell>
          <cell r="J777" t="str">
            <v>Silver Kiosk</v>
          </cell>
          <cell r="K777">
            <v>0</v>
          </cell>
        </row>
        <row r="778">
          <cell r="C778">
            <v>2289</v>
          </cell>
          <cell r="D778" t="str">
            <v>Core</v>
          </cell>
          <cell r="E778" t="str">
            <v>Silver</v>
          </cell>
          <cell r="F778" t="str">
            <v>Silver Kiosk</v>
          </cell>
          <cell r="G778" t="str">
            <v>Core</v>
          </cell>
          <cell r="H778" t="str">
            <v>SG_03_01 Sun Glass Hut_Silver_OWNED</v>
          </cell>
          <cell r="I778" t="str">
            <v>0000002289 Honey Creek Mall</v>
          </cell>
          <cell r="J778" t="str">
            <v>Silver Kiosk</v>
          </cell>
          <cell r="K778">
            <v>0</v>
          </cell>
        </row>
        <row r="779">
          <cell r="C779">
            <v>2303</v>
          </cell>
          <cell r="D779" t="str">
            <v>Core</v>
          </cell>
          <cell r="E779" t="str">
            <v>Silver</v>
          </cell>
          <cell r="F779" t="str">
            <v>Silver Inline</v>
          </cell>
          <cell r="G779" t="str">
            <v>Core</v>
          </cell>
          <cell r="H779" t="str">
            <v>SG_03_01 Sun Glass Hut_Silver_OWNED</v>
          </cell>
          <cell r="I779" t="str">
            <v>0000002303 Tulsa Promenade</v>
          </cell>
          <cell r="J779" t="str">
            <v>Silver Inline</v>
          </cell>
          <cell r="K779">
            <v>0</v>
          </cell>
        </row>
        <row r="780">
          <cell r="C780">
            <v>2339</v>
          </cell>
          <cell r="D780" t="str">
            <v>Core</v>
          </cell>
          <cell r="E780" t="str">
            <v>Silver</v>
          </cell>
          <cell r="F780" t="str">
            <v>Silver Kiosk</v>
          </cell>
          <cell r="G780" t="str">
            <v>Core</v>
          </cell>
          <cell r="H780" t="str">
            <v>SG_03_01 Sun Glass Hut_Silver_OWNED</v>
          </cell>
          <cell r="I780" t="str">
            <v>0000002339 Stones River Mall</v>
          </cell>
          <cell r="J780" t="str">
            <v>Silver Kiosk</v>
          </cell>
          <cell r="K780">
            <v>0</v>
          </cell>
        </row>
        <row r="781">
          <cell r="C781">
            <v>2353</v>
          </cell>
          <cell r="D781" t="str">
            <v>Core</v>
          </cell>
          <cell r="E781" t="str">
            <v>Silver</v>
          </cell>
          <cell r="F781" t="str">
            <v>Silver Inline</v>
          </cell>
          <cell r="G781" t="str">
            <v>Core</v>
          </cell>
          <cell r="H781" t="str">
            <v>SG_03_01 Sun Glass Hut_Silver_OWNED</v>
          </cell>
          <cell r="I781" t="str">
            <v>0000002353 Northwoods Mall</v>
          </cell>
          <cell r="J781" t="str">
            <v>Silver Inline</v>
          </cell>
          <cell r="K781">
            <v>0</v>
          </cell>
        </row>
        <row r="782">
          <cell r="C782">
            <v>2380</v>
          </cell>
          <cell r="D782" t="str">
            <v>Core</v>
          </cell>
          <cell r="E782" t="str">
            <v>Silver</v>
          </cell>
          <cell r="F782" t="str">
            <v>Silver Inline</v>
          </cell>
          <cell r="G782" t="str">
            <v>Core</v>
          </cell>
          <cell r="H782" t="str">
            <v>SG_03_01 Sun Glass Hut_Silver_OWNED</v>
          </cell>
          <cell r="I782" t="str">
            <v>0000002380 Superstition Springs Center</v>
          </cell>
          <cell r="J782" t="str">
            <v>Silver Inline</v>
          </cell>
          <cell r="K782">
            <v>0</v>
          </cell>
        </row>
        <row r="783">
          <cell r="C783">
            <v>2544</v>
          </cell>
          <cell r="D783" t="str">
            <v>Core</v>
          </cell>
          <cell r="E783" t="str">
            <v>Silver</v>
          </cell>
          <cell r="F783" t="str">
            <v>Silver Inline</v>
          </cell>
          <cell r="G783" t="str">
            <v>Core</v>
          </cell>
          <cell r="H783" t="str">
            <v>SG_03_01 Sun Glass Hut_Silver_OWNED</v>
          </cell>
          <cell r="I783" t="str">
            <v>0000002544 Woodbridge Center</v>
          </cell>
          <cell r="J783" t="str">
            <v>Silver Inline</v>
          </cell>
          <cell r="K783">
            <v>0</v>
          </cell>
        </row>
        <row r="784">
          <cell r="C784">
            <v>2732</v>
          </cell>
          <cell r="D784" t="str">
            <v>Core</v>
          </cell>
          <cell r="E784" t="str">
            <v>Silver</v>
          </cell>
          <cell r="F784" t="str">
            <v>Silver Inline</v>
          </cell>
          <cell r="G784" t="str">
            <v>Core</v>
          </cell>
          <cell r="H784" t="str">
            <v>SG_03_01 Sun Glass Hut_Silver_OWNED</v>
          </cell>
          <cell r="I784" t="str">
            <v>0000002732 Shaded - Polaris Fashion Place</v>
          </cell>
          <cell r="J784" t="str">
            <v>Silver Inline-Shaded</v>
          </cell>
          <cell r="K784">
            <v>0</v>
          </cell>
        </row>
        <row r="785">
          <cell r="C785">
            <v>2734</v>
          </cell>
          <cell r="D785" t="str">
            <v>Core</v>
          </cell>
          <cell r="E785" t="str">
            <v>Silver</v>
          </cell>
          <cell r="F785" t="str">
            <v>Silver Inline</v>
          </cell>
          <cell r="G785" t="str">
            <v>Core</v>
          </cell>
          <cell r="H785" t="str">
            <v>SG_03_01 Sun Glass Hut_Silver_OWNED</v>
          </cell>
          <cell r="I785" t="str">
            <v>0000002734 Shaded -The Mall at Tuttle Cro</v>
          </cell>
          <cell r="J785" t="str">
            <v>Silver Inline-Shaded</v>
          </cell>
          <cell r="K785">
            <v>0</v>
          </cell>
        </row>
        <row r="786">
          <cell r="C786">
            <v>2748</v>
          </cell>
          <cell r="D786" t="str">
            <v>Core</v>
          </cell>
          <cell r="E786" t="str">
            <v>Silver</v>
          </cell>
          <cell r="F786" t="str">
            <v>Silver Inline</v>
          </cell>
          <cell r="G786" t="str">
            <v>Core</v>
          </cell>
          <cell r="H786" t="str">
            <v>SG_03_01 Sun Glass Hut_Silver_OWNED</v>
          </cell>
          <cell r="I786" t="str">
            <v>0000002748 Lakeside Mall</v>
          </cell>
          <cell r="J786" t="str">
            <v>Silver Inline</v>
          </cell>
          <cell r="K786">
            <v>0</v>
          </cell>
        </row>
        <row r="787">
          <cell r="C787">
            <v>2768</v>
          </cell>
          <cell r="D787" t="str">
            <v>Core</v>
          </cell>
          <cell r="E787" t="str">
            <v>Silver</v>
          </cell>
          <cell r="F787" t="str">
            <v>Silver Inline</v>
          </cell>
          <cell r="G787" t="str">
            <v>Core</v>
          </cell>
          <cell r="H787" t="str">
            <v>SG_03_01 Sun Glass Hut_Silver_OWNED</v>
          </cell>
          <cell r="I787" t="str">
            <v>0000002768 Pearlridge Center</v>
          </cell>
          <cell r="J787" t="str">
            <v>Silver Inline</v>
          </cell>
          <cell r="K787">
            <v>0</v>
          </cell>
        </row>
        <row r="788">
          <cell r="C788">
            <v>2796</v>
          </cell>
          <cell r="D788" t="str">
            <v>Core</v>
          </cell>
          <cell r="E788" t="str">
            <v>Silver</v>
          </cell>
          <cell r="F788" t="str">
            <v>Silver Kiosk</v>
          </cell>
          <cell r="G788" t="str">
            <v>Core</v>
          </cell>
          <cell r="H788" t="str">
            <v>SG_03_01 Sun Glass Hut_Silver_OWNED</v>
          </cell>
          <cell r="I788" t="str">
            <v>0000002796 Oxford Valley Mall</v>
          </cell>
          <cell r="J788" t="str">
            <v>Silver Kiosk</v>
          </cell>
          <cell r="K788">
            <v>0</v>
          </cell>
        </row>
        <row r="789">
          <cell r="C789">
            <v>2799</v>
          </cell>
          <cell r="D789" t="str">
            <v>Core</v>
          </cell>
          <cell r="E789" t="str">
            <v>Silver</v>
          </cell>
          <cell r="F789" t="str">
            <v>Silver Kiosk</v>
          </cell>
          <cell r="G789" t="str">
            <v>Core</v>
          </cell>
          <cell r="H789" t="str">
            <v>SG_03_01 Sun Glass Hut_Silver_OWNED</v>
          </cell>
          <cell r="I789" t="str">
            <v>0000002799 Columbia Center</v>
          </cell>
          <cell r="J789" t="str">
            <v>Silver Kiosk</v>
          </cell>
          <cell r="K789">
            <v>0</v>
          </cell>
        </row>
        <row r="790">
          <cell r="C790">
            <v>2859</v>
          </cell>
          <cell r="D790" t="str">
            <v>Core</v>
          </cell>
          <cell r="E790" t="str">
            <v>Silver</v>
          </cell>
          <cell r="F790" t="str">
            <v>Silver Inline</v>
          </cell>
          <cell r="G790" t="str">
            <v>Core</v>
          </cell>
          <cell r="H790" t="str">
            <v>SG_03_01 Sun Glass Hut_Silver_OWNED</v>
          </cell>
          <cell r="I790" t="str">
            <v>0000002859 Treasure Coast Square</v>
          </cell>
          <cell r="J790" t="str">
            <v>Silver Inline</v>
          </cell>
          <cell r="K790">
            <v>0</v>
          </cell>
        </row>
        <row r="791">
          <cell r="C791">
            <v>2946</v>
          </cell>
          <cell r="D791" t="str">
            <v>Core</v>
          </cell>
          <cell r="E791" t="str">
            <v>Silver</v>
          </cell>
          <cell r="F791" t="str">
            <v>Silver Kiosk</v>
          </cell>
          <cell r="G791" t="str">
            <v>Core</v>
          </cell>
          <cell r="H791" t="str">
            <v>SG_03_01 Sun Glass Hut_Silver_OWNED</v>
          </cell>
          <cell r="I791" t="str">
            <v>0000002946 Shaded - Greenwood Park Mall</v>
          </cell>
          <cell r="J791" t="str">
            <v>Silver Kiosk-Shaded</v>
          </cell>
          <cell r="K791">
            <v>0</v>
          </cell>
        </row>
        <row r="792">
          <cell r="C792">
            <v>2970</v>
          </cell>
          <cell r="D792" t="str">
            <v>Core</v>
          </cell>
          <cell r="E792" t="str">
            <v>Silver</v>
          </cell>
          <cell r="F792" t="str">
            <v>Silver Inline</v>
          </cell>
          <cell r="G792" t="str">
            <v>Core</v>
          </cell>
          <cell r="H792" t="str">
            <v>SG_03_01 Sun Glass Hut_Silver_OWNED</v>
          </cell>
          <cell r="I792" t="str">
            <v>0000002970 Dimond Center</v>
          </cell>
          <cell r="J792" t="str">
            <v>Silver Inline</v>
          </cell>
          <cell r="K792">
            <v>0</v>
          </cell>
        </row>
        <row r="793">
          <cell r="C793">
            <v>2972</v>
          </cell>
          <cell r="D793" t="str">
            <v>Core</v>
          </cell>
          <cell r="E793" t="str">
            <v>Silver</v>
          </cell>
          <cell r="F793" t="str">
            <v>Silver Inline</v>
          </cell>
          <cell r="G793" t="str">
            <v>Core</v>
          </cell>
          <cell r="H793" t="str">
            <v>SG_03_01 Sun Glass Hut_Silver_OWNED</v>
          </cell>
          <cell r="I793" t="str">
            <v>0000002972 Poipu Shopping Village</v>
          </cell>
          <cell r="J793" t="str">
            <v>Silver Inline</v>
          </cell>
          <cell r="K793">
            <v>0</v>
          </cell>
        </row>
        <row r="794">
          <cell r="C794">
            <v>3007</v>
          </cell>
          <cell r="D794" t="str">
            <v>Core</v>
          </cell>
          <cell r="E794" t="str">
            <v>Silver</v>
          </cell>
          <cell r="F794" t="str">
            <v>Silver Kiosk</v>
          </cell>
          <cell r="G794" t="str">
            <v>Core</v>
          </cell>
          <cell r="H794" t="str">
            <v>SG_03_01 Sun Glass Hut_Silver_OWNED</v>
          </cell>
          <cell r="I794" t="str">
            <v>0000003007 Palisades Center</v>
          </cell>
          <cell r="J794" t="str">
            <v>Silver Kiosk</v>
          </cell>
          <cell r="K794">
            <v>0</v>
          </cell>
        </row>
        <row r="795">
          <cell r="C795">
            <v>3034</v>
          </cell>
          <cell r="D795" t="str">
            <v>Core</v>
          </cell>
          <cell r="E795" t="str">
            <v>Silver</v>
          </cell>
          <cell r="F795" t="str">
            <v>Silver Inline</v>
          </cell>
          <cell r="G795" t="str">
            <v>Core</v>
          </cell>
          <cell r="H795" t="str">
            <v>SG_03_01 Sun Glass Hut_Silver_OWNED</v>
          </cell>
          <cell r="I795" t="str">
            <v>0000003034 Spokane Valley Mall</v>
          </cell>
          <cell r="J795" t="str">
            <v>Silver Inline</v>
          </cell>
          <cell r="K795">
            <v>0</v>
          </cell>
        </row>
        <row r="796">
          <cell r="C796">
            <v>3041</v>
          </cell>
          <cell r="D796" t="str">
            <v>Core</v>
          </cell>
          <cell r="E796" t="str">
            <v>Silver</v>
          </cell>
          <cell r="F796" t="str">
            <v>Silver Kiosk</v>
          </cell>
          <cell r="G796" t="str">
            <v>Core</v>
          </cell>
          <cell r="H796" t="str">
            <v>SG_03_01 Sun Glass Hut_Silver_OWNED</v>
          </cell>
          <cell r="I796" t="str">
            <v>0000003041 West Acres Mall</v>
          </cell>
          <cell r="J796" t="str">
            <v>Silver Kiosk</v>
          </cell>
          <cell r="K796">
            <v>0</v>
          </cell>
        </row>
        <row r="797">
          <cell r="C797">
            <v>3042</v>
          </cell>
          <cell r="D797" t="str">
            <v>Core</v>
          </cell>
          <cell r="E797" t="str">
            <v>Silver</v>
          </cell>
          <cell r="F797" t="str">
            <v>Silver Inline</v>
          </cell>
          <cell r="G797" t="str">
            <v>Core</v>
          </cell>
          <cell r="H797" t="str">
            <v>SG_03_01 Sun Glass Hut_Silver_OWNED</v>
          </cell>
          <cell r="I797" t="str">
            <v>0000003042 First St Station</v>
          </cell>
          <cell r="J797" t="str">
            <v>Silver Inline</v>
          </cell>
          <cell r="K797">
            <v>0</v>
          </cell>
        </row>
        <row r="798">
          <cell r="C798">
            <v>3173</v>
          </cell>
          <cell r="D798" t="str">
            <v>Core</v>
          </cell>
          <cell r="E798" t="str">
            <v>Silver</v>
          </cell>
          <cell r="F798" t="str">
            <v>Silver Kiosk</v>
          </cell>
          <cell r="G798" t="str">
            <v>Core</v>
          </cell>
          <cell r="H798" t="str">
            <v>SG_03_01 Sun Glass Hut_Silver_OWNED</v>
          </cell>
          <cell r="I798" t="str">
            <v>0000003173 RiverTown Crossings Mall</v>
          </cell>
          <cell r="J798" t="str">
            <v>Silver Kiosk</v>
          </cell>
          <cell r="K798">
            <v>0</v>
          </cell>
        </row>
        <row r="799">
          <cell r="C799">
            <v>3174</v>
          </cell>
          <cell r="D799" t="str">
            <v>Core</v>
          </cell>
          <cell r="E799" t="str">
            <v>Silver</v>
          </cell>
          <cell r="F799" t="str">
            <v>Silver Inline</v>
          </cell>
          <cell r="G799" t="str">
            <v>Core</v>
          </cell>
          <cell r="H799" t="str">
            <v>SG_03_01 Sun Glass Hut_Silver_OWNED</v>
          </cell>
          <cell r="I799" t="str">
            <v>0000003174 Old Mill District</v>
          </cell>
          <cell r="J799" t="str">
            <v>Silver Inline</v>
          </cell>
          <cell r="K799">
            <v>0</v>
          </cell>
        </row>
        <row r="800">
          <cell r="C800">
            <v>3185</v>
          </cell>
          <cell r="D800" t="str">
            <v>Core</v>
          </cell>
          <cell r="E800" t="str">
            <v>Silver</v>
          </cell>
          <cell r="F800" t="str">
            <v>Silver Kiosk</v>
          </cell>
          <cell r="G800" t="str">
            <v>Core</v>
          </cell>
          <cell r="H800" t="str">
            <v>SG_03_01 Sun Glass Hut_Silver_OWNED</v>
          </cell>
          <cell r="I800" t="str">
            <v>0000003185 Layton Hills Mall</v>
          </cell>
          <cell r="J800" t="str">
            <v>Silver Kiosk</v>
          </cell>
          <cell r="K800">
            <v>0</v>
          </cell>
        </row>
        <row r="801">
          <cell r="C801">
            <v>3261</v>
          </cell>
          <cell r="D801" t="str">
            <v>Core</v>
          </cell>
          <cell r="E801" t="str">
            <v>Silver</v>
          </cell>
          <cell r="F801" t="str">
            <v>Silver Kiosk</v>
          </cell>
          <cell r="G801" t="str">
            <v>Core</v>
          </cell>
          <cell r="H801" t="str">
            <v>SG_03_01 Sun Glass Hut_Silver_OWNED</v>
          </cell>
          <cell r="I801" t="str">
            <v>0000003261 The Mall At Sierra Vista</v>
          </cell>
          <cell r="J801" t="str">
            <v>Silver Kiosk</v>
          </cell>
          <cell r="K801">
            <v>0</v>
          </cell>
        </row>
        <row r="802">
          <cell r="C802">
            <v>3266</v>
          </cell>
          <cell r="D802" t="str">
            <v>Core</v>
          </cell>
          <cell r="E802" t="str">
            <v>Silver</v>
          </cell>
          <cell r="F802" t="str">
            <v>Silver Kiosk</v>
          </cell>
          <cell r="G802" t="str">
            <v>Core</v>
          </cell>
          <cell r="H802" t="str">
            <v>SG_03_01 Sun Glass Hut_Silver_OWNED</v>
          </cell>
          <cell r="I802" t="str">
            <v>0000003266 Charlottetown Mall</v>
          </cell>
          <cell r="J802" t="str">
            <v>Silver Kiosk</v>
          </cell>
          <cell r="K802">
            <v>0</v>
          </cell>
        </row>
        <row r="803">
          <cell r="C803">
            <v>3273</v>
          </cell>
          <cell r="D803" t="str">
            <v>Core</v>
          </cell>
          <cell r="E803" t="str">
            <v>Silver</v>
          </cell>
          <cell r="F803" t="str">
            <v>Silver Inline</v>
          </cell>
          <cell r="G803" t="str">
            <v>Core</v>
          </cell>
          <cell r="H803" t="str">
            <v>SG_03_01 Sun Glass Hut_Silver_OWNED</v>
          </cell>
          <cell r="I803" t="str">
            <v>0000003273 Arbor Place</v>
          </cell>
          <cell r="J803" t="str">
            <v>Silver Inline</v>
          </cell>
          <cell r="K803">
            <v>0</v>
          </cell>
        </row>
        <row r="804">
          <cell r="C804">
            <v>3278</v>
          </cell>
          <cell r="D804" t="str">
            <v>Core</v>
          </cell>
          <cell r="E804" t="str">
            <v>Silver</v>
          </cell>
          <cell r="F804" t="str">
            <v>Silver Inline</v>
          </cell>
          <cell r="G804" t="str">
            <v>Core</v>
          </cell>
          <cell r="H804" t="str">
            <v>SG_03_01 Sun Glass Hut_Silver_OWNED</v>
          </cell>
          <cell r="I804" t="str">
            <v>0000003278 Exton Square Mall</v>
          </cell>
          <cell r="J804" t="str">
            <v>Silver Inline</v>
          </cell>
          <cell r="K804">
            <v>0</v>
          </cell>
        </row>
        <row r="805">
          <cell r="C805">
            <v>3381</v>
          </cell>
          <cell r="D805" t="str">
            <v>Core</v>
          </cell>
          <cell r="E805" t="str">
            <v>Silver</v>
          </cell>
          <cell r="F805" t="str">
            <v>Silver Kiosk</v>
          </cell>
          <cell r="G805" t="str">
            <v>Core</v>
          </cell>
          <cell r="H805" t="str">
            <v>SG_03_01 Sun Glass Hut_Silver_OWNED</v>
          </cell>
          <cell r="I805" t="str">
            <v>0000003381 Lansdowne Place</v>
          </cell>
          <cell r="J805" t="str">
            <v>Silver Kiosk</v>
          </cell>
          <cell r="K805">
            <v>0</v>
          </cell>
        </row>
        <row r="806">
          <cell r="C806">
            <v>3404</v>
          </cell>
          <cell r="D806" t="str">
            <v>Core</v>
          </cell>
          <cell r="E806" t="str">
            <v>Silver</v>
          </cell>
          <cell r="F806" t="str">
            <v>Silver Inline</v>
          </cell>
          <cell r="G806" t="str">
            <v>Core</v>
          </cell>
          <cell r="H806" t="str">
            <v>SG_03_01 Sun Glass Hut_Silver_OWNED</v>
          </cell>
          <cell r="I806" t="str">
            <v>0000003404 Coral Ridge Mall</v>
          </cell>
          <cell r="J806" t="str">
            <v>Silver Inline</v>
          </cell>
          <cell r="K806">
            <v>0</v>
          </cell>
        </row>
        <row r="807">
          <cell r="C807">
            <v>3419</v>
          </cell>
          <cell r="D807" t="str">
            <v>Core</v>
          </cell>
          <cell r="E807" t="str">
            <v>Silver</v>
          </cell>
          <cell r="F807" t="str">
            <v>Silver Kiosk</v>
          </cell>
          <cell r="G807" t="str">
            <v>Core</v>
          </cell>
          <cell r="H807" t="str">
            <v>SG_03_01 Sun Glass Hut_Silver_OWNED</v>
          </cell>
          <cell r="I807" t="str">
            <v>0000003419 Woodgrove Centre</v>
          </cell>
          <cell r="J807" t="str">
            <v>Silver Kiosk</v>
          </cell>
          <cell r="K807">
            <v>0</v>
          </cell>
        </row>
        <row r="808">
          <cell r="C808">
            <v>3427</v>
          </cell>
          <cell r="D808" t="str">
            <v>Core</v>
          </cell>
          <cell r="E808" t="str">
            <v>Silver</v>
          </cell>
          <cell r="F808" t="str">
            <v>Silver Inline</v>
          </cell>
          <cell r="G808" t="str">
            <v>Core</v>
          </cell>
          <cell r="H808" t="str">
            <v>SG_03_01 Sun Glass Hut_Silver_OWNED</v>
          </cell>
          <cell r="I808" t="str">
            <v>0000003427 Fox River Mall</v>
          </cell>
          <cell r="J808" t="str">
            <v>Silver Inline</v>
          </cell>
          <cell r="K808">
            <v>0</v>
          </cell>
        </row>
        <row r="809">
          <cell r="C809">
            <v>3429</v>
          </cell>
          <cell r="D809" t="str">
            <v>Core</v>
          </cell>
          <cell r="E809" t="str">
            <v>Silver</v>
          </cell>
          <cell r="F809" t="str">
            <v>Silver Kiosk</v>
          </cell>
          <cell r="G809" t="str">
            <v>Core</v>
          </cell>
          <cell r="H809" t="str">
            <v>SG_03_01 Sun Glass Hut_Silver_OWNED</v>
          </cell>
          <cell r="I809" t="str">
            <v>0000003429 Mesa Mall</v>
          </cell>
          <cell r="J809" t="str">
            <v>Silver Kiosk</v>
          </cell>
          <cell r="K809">
            <v>0</v>
          </cell>
        </row>
        <row r="810">
          <cell r="C810">
            <v>3444</v>
          </cell>
          <cell r="D810" t="str">
            <v>Core</v>
          </cell>
          <cell r="E810" t="str">
            <v>Silver</v>
          </cell>
          <cell r="F810" t="str">
            <v>Silver Inline</v>
          </cell>
          <cell r="G810" t="str">
            <v>Core</v>
          </cell>
          <cell r="H810" t="str">
            <v>SG_03_01 Sun Glass Hut_Silver_OWNED</v>
          </cell>
          <cell r="I810" t="str">
            <v>0000003444 Park Place Shopping Centre</v>
          </cell>
          <cell r="J810" t="str">
            <v>Silver Inline</v>
          </cell>
          <cell r="K810">
            <v>0</v>
          </cell>
        </row>
        <row r="811">
          <cell r="C811">
            <v>3478</v>
          </cell>
          <cell r="D811" t="str">
            <v>Core</v>
          </cell>
          <cell r="E811" t="str">
            <v>Silver</v>
          </cell>
          <cell r="F811" t="str">
            <v>Silver Kiosk</v>
          </cell>
          <cell r="G811" t="str">
            <v>Core</v>
          </cell>
          <cell r="H811" t="str">
            <v>SG_03_01 Sun Glass Hut_Silver_OWNED</v>
          </cell>
          <cell r="I811" t="str">
            <v>0000003478 Gallatin Valley Mall</v>
          </cell>
          <cell r="J811" t="str">
            <v>Silver Kiosk</v>
          </cell>
          <cell r="K811">
            <v>0</v>
          </cell>
        </row>
        <row r="812">
          <cell r="C812">
            <v>3533</v>
          </cell>
          <cell r="D812" t="str">
            <v>Core</v>
          </cell>
          <cell r="E812" t="str">
            <v>Silver</v>
          </cell>
          <cell r="F812" t="str">
            <v>Silver Kiosk</v>
          </cell>
          <cell r="G812" t="str">
            <v>Core</v>
          </cell>
          <cell r="H812" t="str">
            <v>SG_03_01 Sun Glass Hut_Silver_OWNED</v>
          </cell>
          <cell r="I812" t="str">
            <v>0000003533 Grand Traverse Mall</v>
          </cell>
          <cell r="J812" t="str">
            <v>Silver Kiosk</v>
          </cell>
          <cell r="K812">
            <v>0</v>
          </cell>
        </row>
        <row r="813">
          <cell r="C813">
            <v>3534</v>
          </cell>
          <cell r="D813" t="str">
            <v>Core</v>
          </cell>
          <cell r="E813" t="str">
            <v>Silver</v>
          </cell>
          <cell r="F813" t="str">
            <v>Silver Kiosk</v>
          </cell>
          <cell r="G813" t="str">
            <v>Core</v>
          </cell>
          <cell r="H813" t="str">
            <v>SG_03_01 Sun Glass Hut_Silver_OWNED</v>
          </cell>
          <cell r="I813" t="str">
            <v>0000003534 Bay Park Square</v>
          </cell>
          <cell r="J813" t="str">
            <v>Silver Kiosk</v>
          </cell>
          <cell r="K813">
            <v>0</v>
          </cell>
        </row>
        <row r="814">
          <cell r="C814">
            <v>3540</v>
          </cell>
          <cell r="D814" t="str">
            <v>Core</v>
          </cell>
          <cell r="E814" t="str">
            <v>Silver</v>
          </cell>
          <cell r="F814" t="str">
            <v>Silver Inline</v>
          </cell>
          <cell r="G814" t="str">
            <v>Core</v>
          </cell>
          <cell r="H814" t="str">
            <v>SG_03_01 Sun Glass Hut_Silver_OWNED</v>
          </cell>
          <cell r="I814" t="str">
            <v>0000003540 Summit Mall</v>
          </cell>
          <cell r="J814" t="str">
            <v>Silver Inline</v>
          </cell>
          <cell r="K814">
            <v>0</v>
          </cell>
        </row>
        <row r="815">
          <cell r="C815">
            <v>3563</v>
          </cell>
          <cell r="D815" t="str">
            <v>Core</v>
          </cell>
          <cell r="E815" t="str">
            <v>Silver</v>
          </cell>
          <cell r="F815" t="str">
            <v>Silver Kiosk</v>
          </cell>
          <cell r="G815" t="str">
            <v>Core</v>
          </cell>
          <cell r="H815" t="str">
            <v>SG_03_01 Sun Glass Hut_Silver_OWNED</v>
          </cell>
          <cell r="I815" t="str">
            <v>0000003563 Southland Mall</v>
          </cell>
          <cell r="J815" t="str">
            <v>Silver Kiosk</v>
          </cell>
          <cell r="K815">
            <v>0</v>
          </cell>
        </row>
        <row r="816">
          <cell r="C816">
            <v>3587</v>
          </cell>
          <cell r="D816" t="str">
            <v>Core</v>
          </cell>
          <cell r="E816" t="str">
            <v>Silver</v>
          </cell>
          <cell r="F816" t="str">
            <v>Silver Kiosk</v>
          </cell>
          <cell r="G816" t="str">
            <v>Core</v>
          </cell>
          <cell r="H816" t="str">
            <v>SG_03_01 Sun Glass Hut_Silver_OWNED</v>
          </cell>
          <cell r="I816" t="str">
            <v>0000003587 Quinte Mall</v>
          </cell>
          <cell r="J816" t="str">
            <v>Silver Kiosk</v>
          </cell>
          <cell r="K816">
            <v>0</v>
          </cell>
        </row>
        <row r="817">
          <cell r="C817">
            <v>3593</v>
          </cell>
          <cell r="D817" t="str">
            <v>Core</v>
          </cell>
          <cell r="E817" t="str">
            <v>Silver</v>
          </cell>
          <cell r="F817" t="str">
            <v>Silver Inline</v>
          </cell>
          <cell r="G817" t="str">
            <v>Core</v>
          </cell>
          <cell r="H817" t="str">
            <v>SG_03_01 Sun Glass Hut_Silver_OWNED</v>
          </cell>
          <cell r="I817" t="str">
            <v>0000003593 The Village Shopping Center</v>
          </cell>
          <cell r="J817" t="str">
            <v>Silver Inline</v>
          </cell>
          <cell r="K817">
            <v>0</v>
          </cell>
        </row>
        <row r="818">
          <cell r="C818">
            <v>3597</v>
          </cell>
          <cell r="D818" t="str">
            <v>Core</v>
          </cell>
          <cell r="E818" t="str">
            <v>Silver</v>
          </cell>
          <cell r="F818" t="str">
            <v>Silver Inline</v>
          </cell>
          <cell r="G818" t="str">
            <v>Core</v>
          </cell>
          <cell r="H818" t="str">
            <v>SG_03_01 Sun Glass Hut_Silver_OWNED</v>
          </cell>
          <cell r="I818" t="str">
            <v>0000003597 Jacksonville Mall</v>
          </cell>
          <cell r="J818" t="str">
            <v>Silver Inline</v>
          </cell>
          <cell r="K818">
            <v>0</v>
          </cell>
        </row>
        <row r="819">
          <cell r="C819">
            <v>3644</v>
          </cell>
          <cell r="D819" t="str">
            <v>Core</v>
          </cell>
          <cell r="E819" t="str">
            <v>Silver</v>
          </cell>
          <cell r="F819" t="str">
            <v>Silver Inline</v>
          </cell>
          <cell r="G819" t="str">
            <v>Core</v>
          </cell>
          <cell r="H819" t="str">
            <v>SG_03_01 Sun Glass Hut_Silver_OWNED</v>
          </cell>
          <cell r="I819" t="str">
            <v>0000003644 Mall Of Georgia</v>
          </cell>
          <cell r="J819" t="str">
            <v>Silver Inline</v>
          </cell>
          <cell r="K819">
            <v>0</v>
          </cell>
        </row>
        <row r="820">
          <cell r="C820">
            <v>3653</v>
          </cell>
          <cell r="D820" t="str">
            <v>Core</v>
          </cell>
          <cell r="E820" t="str">
            <v>Silver</v>
          </cell>
          <cell r="F820" t="str">
            <v>Silver Inline</v>
          </cell>
          <cell r="G820" t="str">
            <v>Core</v>
          </cell>
          <cell r="H820" t="str">
            <v>SG_03_01 Sun Glass Hut_Silver_OWNED</v>
          </cell>
          <cell r="I820" t="str">
            <v>0000003653 Mall St Matthews</v>
          </cell>
          <cell r="J820" t="str">
            <v>Silver Inline</v>
          </cell>
          <cell r="K820">
            <v>0</v>
          </cell>
        </row>
        <row r="821">
          <cell r="C821">
            <v>3674</v>
          </cell>
          <cell r="D821" t="str">
            <v>Core</v>
          </cell>
          <cell r="E821" t="str">
            <v>Silver</v>
          </cell>
          <cell r="F821" t="str">
            <v>Silver Kiosk</v>
          </cell>
          <cell r="G821" t="str">
            <v>Core</v>
          </cell>
          <cell r="H821" t="str">
            <v>SG_03_01 Sun Glass Hut_Silver_OWNED</v>
          </cell>
          <cell r="I821" t="str">
            <v>0000003674 Weberstown Mall</v>
          </cell>
          <cell r="J821" t="str">
            <v>Silver Kiosk</v>
          </cell>
          <cell r="K821">
            <v>0</v>
          </cell>
        </row>
        <row r="822">
          <cell r="C822">
            <v>3676</v>
          </cell>
          <cell r="D822" t="str">
            <v>Core</v>
          </cell>
          <cell r="E822" t="str">
            <v>Silver</v>
          </cell>
          <cell r="F822" t="str">
            <v>Silver Inline</v>
          </cell>
          <cell r="G822" t="str">
            <v>Core</v>
          </cell>
          <cell r="H822" t="str">
            <v>SG_03_01 Sun Glass Hut_Silver_OWNED</v>
          </cell>
          <cell r="I822" t="str">
            <v>0000003676 Sunrise Mall</v>
          </cell>
          <cell r="J822" t="str">
            <v>Silver Inline</v>
          </cell>
          <cell r="K822">
            <v>0</v>
          </cell>
        </row>
        <row r="823">
          <cell r="C823">
            <v>3684</v>
          </cell>
          <cell r="D823" t="str">
            <v>Core</v>
          </cell>
          <cell r="E823" t="str">
            <v>Silver</v>
          </cell>
          <cell r="F823" t="str">
            <v>Silver Inline</v>
          </cell>
          <cell r="G823" t="str">
            <v>Core</v>
          </cell>
          <cell r="H823" t="str">
            <v>SG_03_01 Sun Glass Hut_Silver_OWNED</v>
          </cell>
          <cell r="I823" t="str">
            <v>0000003684 The Summit Louisville</v>
          </cell>
          <cell r="J823" t="str">
            <v>Silver Inline</v>
          </cell>
          <cell r="K823">
            <v>0</v>
          </cell>
        </row>
        <row r="824">
          <cell r="C824">
            <v>3686</v>
          </cell>
          <cell r="D824" t="str">
            <v>Core</v>
          </cell>
          <cell r="E824" t="str">
            <v>Silver</v>
          </cell>
          <cell r="F824" t="str">
            <v>Silver Inline</v>
          </cell>
          <cell r="G824" t="str">
            <v>Core</v>
          </cell>
          <cell r="H824" t="str">
            <v>SG_03_01 Sun Glass Hut_Silver_OWNED</v>
          </cell>
          <cell r="I824" t="str">
            <v>0000003686 The Citadel</v>
          </cell>
          <cell r="J824" t="str">
            <v>Silver Inline</v>
          </cell>
          <cell r="K824">
            <v>0</v>
          </cell>
        </row>
        <row r="825">
          <cell r="C825">
            <v>3687</v>
          </cell>
          <cell r="D825" t="str">
            <v>Core</v>
          </cell>
          <cell r="E825" t="str">
            <v>Silver</v>
          </cell>
          <cell r="F825" t="str">
            <v>Silver Inline</v>
          </cell>
          <cell r="G825" t="str">
            <v>Core</v>
          </cell>
          <cell r="H825" t="str">
            <v>SG_03_01 Sun Glass Hut_Silver_OWNED</v>
          </cell>
          <cell r="I825" t="str">
            <v>0000003687 Chapel Hills Mall</v>
          </cell>
          <cell r="J825" t="str">
            <v>Silver Inline</v>
          </cell>
          <cell r="K825">
            <v>0</v>
          </cell>
        </row>
        <row r="826">
          <cell r="C826">
            <v>3688</v>
          </cell>
          <cell r="D826" t="str">
            <v>Core</v>
          </cell>
          <cell r="E826" t="str">
            <v>Silver</v>
          </cell>
          <cell r="F826" t="str">
            <v>Silver Inline</v>
          </cell>
          <cell r="G826" t="str">
            <v>Core</v>
          </cell>
          <cell r="H826" t="str">
            <v>SG_03_01 Sun Glass Hut_Silver_OWNED</v>
          </cell>
          <cell r="I826" t="str">
            <v>0000003688 Killeen Mall</v>
          </cell>
          <cell r="J826" t="str">
            <v>Silver Inline</v>
          </cell>
          <cell r="K826">
            <v>0</v>
          </cell>
        </row>
        <row r="827">
          <cell r="C827">
            <v>3691</v>
          </cell>
          <cell r="D827" t="str">
            <v>Core</v>
          </cell>
          <cell r="E827" t="str">
            <v>Silver</v>
          </cell>
          <cell r="F827" t="str">
            <v>Silver Inline</v>
          </cell>
          <cell r="G827" t="str">
            <v>Core</v>
          </cell>
          <cell r="H827" t="str">
            <v>SG_03_01 Sun Glass Hut_Silver_OWNED</v>
          </cell>
          <cell r="I827" t="str">
            <v>0000003691 Pueblo Mall</v>
          </cell>
          <cell r="J827" t="str">
            <v>Silver Inline</v>
          </cell>
          <cell r="K827">
            <v>0</v>
          </cell>
        </row>
        <row r="828">
          <cell r="C828">
            <v>3698</v>
          </cell>
          <cell r="D828" t="str">
            <v>Core</v>
          </cell>
          <cell r="E828" t="str">
            <v>Silver</v>
          </cell>
          <cell r="F828" t="str">
            <v>Silver Inline</v>
          </cell>
          <cell r="G828" t="str">
            <v>Core</v>
          </cell>
          <cell r="H828" t="str">
            <v>SG_03_01 Sun Glass Hut_Silver_OWNED</v>
          </cell>
          <cell r="I828" t="str">
            <v>0000003698 Wyoming Valley Mall</v>
          </cell>
          <cell r="J828" t="str">
            <v>Silver Inline</v>
          </cell>
          <cell r="K828">
            <v>0</v>
          </cell>
        </row>
        <row r="829">
          <cell r="C829">
            <v>3703</v>
          </cell>
          <cell r="D829" t="str">
            <v>Core</v>
          </cell>
          <cell r="E829" t="str">
            <v>Silver</v>
          </cell>
          <cell r="F829" t="str">
            <v>Silver Inline</v>
          </cell>
          <cell r="G829" t="str">
            <v>Core</v>
          </cell>
          <cell r="H829" t="str">
            <v>SG_03_01 Sun Glass Hut_Silver_OWNED</v>
          </cell>
          <cell r="I829" t="str">
            <v>0000003703 Colonial Brookwood Village</v>
          </cell>
          <cell r="J829" t="str">
            <v>Silver Inline</v>
          </cell>
          <cell r="K829">
            <v>0</v>
          </cell>
        </row>
        <row r="830">
          <cell r="C830">
            <v>3707</v>
          </cell>
          <cell r="D830" t="str">
            <v>Core</v>
          </cell>
          <cell r="E830" t="str">
            <v>Silver</v>
          </cell>
          <cell r="F830" t="str">
            <v>Silver Kiosk</v>
          </cell>
          <cell r="G830" t="str">
            <v>Core</v>
          </cell>
          <cell r="H830" t="str">
            <v>SG_03_01 Sun Glass Hut_Silver_OWNED</v>
          </cell>
          <cell r="I830" t="str">
            <v>0000003707 Albany Mall</v>
          </cell>
          <cell r="J830" t="str">
            <v>Silver Kiosk</v>
          </cell>
          <cell r="K830">
            <v>0</v>
          </cell>
        </row>
        <row r="831">
          <cell r="C831">
            <v>3711</v>
          </cell>
          <cell r="D831" t="str">
            <v>Core</v>
          </cell>
          <cell r="E831" t="str">
            <v>Silver</v>
          </cell>
          <cell r="F831" t="str">
            <v>Silver Kiosk</v>
          </cell>
          <cell r="G831" t="str">
            <v>Core</v>
          </cell>
          <cell r="H831" t="str">
            <v>SG_03_01 Sun Glass Hut_Silver_OWNED</v>
          </cell>
          <cell r="I831" t="str">
            <v>0000003711 North Shore Square</v>
          </cell>
          <cell r="J831" t="str">
            <v>Silver Kiosk</v>
          </cell>
          <cell r="K831">
            <v>0</v>
          </cell>
        </row>
        <row r="832">
          <cell r="C832">
            <v>3730</v>
          </cell>
          <cell r="D832" t="str">
            <v>Core</v>
          </cell>
          <cell r="E832" t="str">
            <v>Silver</v>
          </cell>
          <cell r="F832" t="str">
            <v>Silver Kiosk</v>
          </cell>
          <cell r="G832" t="str">
            <v>Core</v>
          </cell>
          <cell r="H832" t="str">
            <v>SG_03_01 Sun Glass Hut_Silver_OWNED</v>
          </cell>
          <cell r="I832" t="str">
            <v>0000003730 Viewmont Mall</v>
          </cell>
          <cell r="J832" t="str">
            <v>Silver Kiosk</v>
          </cell>
          <cell r="K832">
            <v>0</v>
          </cell>
        </row>
        <row r="833">
          <cell r="C833">
            <v>3733</v>
          </cell>
          <cell r="D833" t="str">
            <v>Core</v>
          </cell>
          <cell r="E833" t="str">
            <v>Silver</v>
          </cell>
          <cell r="F833" t="str">
            <v>Silver Inline</v>
          </cell>
          <cell r="G833" t="str">
            <v>Core</v>
          </cell>
          <cell r="H833" t="str">
            <v>SG_03_01 Sun Glass Hut_Silver_OWNED</v>
          </cell>
          <cell r="I833" t="str">
            <v>0000003733 Valley Hills Mall</v>
          </cell>
          <cell r="J833" t="str">
            <v>Silver Inline</v>
          </cell>
          <cell r="K833">
            <v>0</v>
          </cell>
        </row>
        <row r="834">
          <cell r="C834">
            <v>3742</v>
          </cell>
          <cell r="D834" t="str">
            <v>Core</v>
          </cell>
          <cell r="E834" t="str">
            <v>Silver</v>
          </cell>
          <cell r="F834" t="str">
            <v>Silver Inline</v>
          </cell>
          <cell r="G834" t="str">
            <v>Core</v>
          </cell>
          <cell r="H834" t="str">
            <v>SG_03_01 Sun Glass Hut_Silver_OWNED</v>
          </cell>
          <cell r="I834" t="str">
            <v>0000003742 Broadway at the Beach</v>
          </cell>
          <cell r="J834" t="str">
            <v>Silver Inline</v>
          </cell>
          <cell r="K834">
            <v>0</v>
          </cell>
        </row>
        <row r="835">
          <cell r="C835">
            <v>3761</v>
          </cell>
          <cell r="D835" t="str">
            <v>Core</v>
          </cell>
          <cell r="E835" t="str">
            <v>Silver</v>
          </cell>
          <cell r="F835" t="str">
            <v>Silver Inline</v>
          </cell>
          <cell r="G835" t="str">
            <v>Core</v>
          </cell>
          <cell r="H835" t="str">
            <v>SG_03_01 Sun Glass Hut_Silver_OWNED</v>
          </cell>
          <cell r="I835" t="str">
            <v>0000003761 Glenbrook Square Mall</v>
          </cell>
          <cell r="J835" t="str">
            <v>Silver Inline</v>
          </cell>
          <cell r="K835">
            <v>0</v>
          </cell>
        </row>
        <row r="836">
          <cell r="C836">
            <v>3762</v>
          </cell>
          <cell r="D836" t="str">
            <v>Core</v>
          </cell>
          <cell r="E836" t="str">
            <v>Silver</v>
          </cell>
          <cell r="F836" t="str">
            <v>Silver Inline</v>
          </cell>
          <cell r="G836" t="str">
            <v>Core</v>
          </cell>
          <cell r="H836" t="str">
            <v>SG_03_01 Sun Glass Hut_Silver_OWNED</v>
          </cell>
          <cell r="I836" t="str">
            <v>0000003762 Crystal Mall</v>
          </cell>
          <cell r="J836" t="str">
            <v>Silver Inline</v>
          </cell>
          <cell r="K836">
            <v>0</v>
          </cell>
        </row>
        <row r="837">
          <cell r="C837">
            <v>3779</v>
          </cell>
          <cell r="D837" t="str">
            <v>Core</v>
          </cell>
          <cell r="E837" t="str">
            <v>Silver</v>
          </cell>
          <cell r="F837" t="str">
            <v>Silver Inline</v>
          </cell>
          <cell r="G837" t="str">
            <v>Core</v>
          </cell>
          <cell r="H837" t="str">
            <v>SG_03_01 Sun Glass Hut_Silver_OWNED</v>
          </cell>
          <cell r="I837" t="str">
            <v>0000003779 Parkway Mall</v>
          </cell>
          <cell r="J837" t="str">
            <v>Silver Inline</v>
          </cell>
          <cell r="K837">
            <v>0</v>
          </cell>
        </row>
        <row r="838">
          <cell r="C838">
            <v>3915</v>
          </cell>
          <cell r="D838" t="str">
            <v>Core</v>
          </cell>
          <cell r="E838" t="str">
            <v>Silver</v>
          </cell>
          <cell r="F838" t="str">
            <v>Silver Inline</v>
          </cell>
          <cell r="G838" t="str">
            <v>Core</v>
          </cell>
          <cell r="H838" t="str">
            <v>SG_03_01 Sun Glass Hut_Silver_OWNED</v>
          </cell>
          <cell r="I838" t="str">
            <v>0000003915 Pearlridge Center</v>
          </cell>
          <cell r="J838" t="str">
            <v>Silver Inline</v>
          </cell>
          <cell r="K838">
            <v>0</v>
          </cell>
        </row>
        <row r="839">
          <cell r="C839">
            <v>3919</v>
          </cell>
          <cell r="D839" t="str">
            <v>Core</v>
          </cell>
          <cell r="E839" t="str">
            <v>Silver</v>
          </cell>
          <cell r="F839" t="str">
            <v>Silver Inline</v>
          </cell>
          <cell r="G839" t="str">
            <v>Core</v>
          </cell>
          <cell r="H839" t="str">
            <v>SG_03_01 Sun Glass Hut_Silver_OWNED</v>
          </cell>
          <cell r="I839" t="str">
            <v>0000003919 Windward Mall</v>
          </cell>
          <cell r="J839" t="str">
            <v>Silver Inline</v>
          </cell>
          <cell r="K839">
            <v>0</v>
          </cell>
        </row>
        <row r="840">
          <cell r="C840">
            <v>3920</v>
          </cell>
          <cell r="D840" t="str">
            <v>Core</v>
          </cell>
          <cell r="E840" t="str">
            <v>Silver</v>
          </cell>
          <cell r="F840" t="str">
            <v>Silver Inline</v>
          </cell>
          <cell r="G840" t="str">
            <v>Core</v>
          </cell>
          <cell r="H840" t="str">
            <v>SG_03_01 Sun Glass Hut_Silver_OWNED</v>
          </cell>
          <cell r="I840" t="str">
            <v>0000003920 Queen Ka'ahumanu Center</v>
          </cell>
          <cell r="J840" t="str">
            <v>Silver Inline</v>
          </cell>
          <cell r="K840">
            <v>0</v>
          </cell>
        </row>
        <row r="841">
          <cell r="C841">
            <v>3939</v>
          </cell>
          <cell r="D841" t="str">
            <v>Core</v>
          </cell>
          <cell r="E841" t="str">
            <v>Silver</v>
          </cell>
          <cell r="F841" t="str">
            <v>Silver Kiosk</v>
          </cell>
          <cell r="G841" t="str">
            <v>Core</v>
          </cell>
          <cell r="H841" t="str">
            <v>SG_03_01 Sun Glass Hut_Silver_OWNED</v>
          </cell>
          <cell r="I841" t="str">
            <v>0000003939 Greenville Mall</v>
          </cell>
          <cell r="J841" t="str">
            <v>Silver Kiosk</v>
          </cell>
          <cell r="K841">
            <v>0</v>
          </cell>
        </row>
        <row r="842">
          <cell r="C842">
            <v>3941</v>
          </cell>
          <cell r="D842" t="str">
            <v>Core</v>
          </cell>
          <cell r="E842" t="str">
            <v>Silver</v>
          </cell>
          <cell r="F842" t="str">
            <v>Silver Kiosk</v>
          </cell>
          <cell r="G842" t="str">
            <v>Core</v>
          </cell>
          <cell r="H842" t="str">
            <v>SG_03_01 Sun Glass Hut_Silver_OWNED</v>
          </cell>
          <cell r="I842" t="str">
            <v>0000003941 Kingsport Town Center</v>
          </cell>
          <cell r="J842" t="str">
            <v>Silver Kiosk</v>
          </cell>
          <cell r="K842">
            <v>0</v>
          </cell>
        </row>
        <row r="843">
          <cell r="C843">
            <v>3956</v>
          </cell>
          <cell r="D843" t="str">
            <v>Core</v>
          </cell>
          <cell r="E843" t="str">
            <v>Silver</v>
          </cell>
          <cell r="F843" t="str">
            <v>Silver Kiosk</v>
          </cell>
          <cell r="G843" t="str">
            <v>Core</v>
          </cell>
          <cell r="H843" t="str">
            <v>SG_03_01 Sun Glass Hut_Silver_OWNED</v>
          </cell>
          <cell r="I843" t="str">
            <v>0000003956 Colonie Center</v>
          </cell>
          <cell r="J843" t="str">
            <v>Silver Kiosk</v>
          </cell>
          <cell r="K843">
            <v>0</v>
          </cell>
        </row>
        <row r="844">
          <cell r="C844">
            <v>3969</v>
          </cell>
          <cell r="D844" t="str">
            <v>Core</v>
          </cell>
          <cell r="E844" t="str">
            <v>Silver</v>
          </cell>
          <cell r="F844" t="str">
            <v>Silver Kiosk</v>
          </cell>
          <cell r="G844" t="str">
            <v>Core</v>
          </cell>
          <cell r="H844" t="str">
            <v>SG_03_01 Sun Glass Hut_Silver_OWNED</v>
          </cell>
          <cell r="I844" t="str">
            <v>0000003969 Bellis Fair Mall</v>
          </cell>
          <cell r="J844" t="str">
            <v>Silver Kiosk</v>
          </cell>
          <cell r="K844">
            <v>0</v>
          </cell>
        </row>
        <row r="845">
          <cell r="C845">
            <v>4020</v>
          </cell>
          <cell r="D845" t="str">
            <v>Core</v>
          </cell>
          <cell r="E845" t="str">
            <v>Silver</v>
          </cell>
          <cell r="F845" t="str">
            <v>Silver Kiosk</v>
          </cell>
          <cell r="G845" t="str">
            <v>Core</v>
          </cell>
          <cell r="H845" t="str">
            <v>SG_03_01 Sun Glass Hut_Silver_OWNED</v>
          </cell>
          <cell r="I845" t="str">
            <v>0000004020 The Mall At Barnes Crossing</v>
          </cell>
          <cell r="J845" t="str">
            <v>Silver Kiosk</v>
          </cell>
          <cell r="K845">
            <v>0</v>
          </cell>
        </row>
        <row r="846">
          <cell r="C846">
            <v>4021</v>
          </cell>
          <cell r="D846" t="str">
            <v>Core</v>
          </cell>
          <cell r="E846" t="str">
            <v>Silver</v>
          </cell>
          <cell r="F846" t="str">
            <v>Silver Inline</v>
          </cell>
          <cell r="G846" t="str">
            <v>Core</v>
          </cell>
          <cell r="H846" t="str">
            <v>SG_03_01 Sun Glass Hut_Silver_OWNED</v>
          </cell>
          <cell r="I846" t="str">
            <v>0000004021 Regent Mall</v>
          </cell>
          <cell r="J846" t="str">
            <v>Silver Inline</v>
          </cell>
          <cell r="K846">
            <v>0</v>
          </cell>
        </row>
        <row r="847">
          <cell r="C847">
            <v>4025</v>
          </cell>
          <cell r="D847" t="str">
            <v>Core</v>
          </cell>
          <cell r="E847" t="str">
            <v>Silver</v>
          </cell>
          <cell r="F847" t="str">
            <v>Silver Kiosk</v>
          </cell>
          <cell r="G847" t="str">
            <v>Core</v>
          </cell>
          <cell r="H847" t="str">
            <v>SG_03_01 Sun Glass Hut_Silver_OWNED</v>
          </cell>
          <cell r="I847" t="str">
            <v>0000004025 Parkway Place</v>
          </cell>
          <cell r="J847" t="str">
            <v>Silver Kiosk</v>
          </cell>
          <cell r="K847">
            <v>0</v>
          </cell>
        </row>
        <row r="848">
          <cell r="C848">
            <v>4032</v>
          </cell>
          <cell r="D848" t="str">
            <v>Core</v>
          </cell>
          <cell r="E848" t="str">
            <v>Silver</v>
          </cell>
          <cell r="F848" t="str">
            <v>Silver Inline</v>
          </cell>
          <cell r="G848" t="str">
            <v>Core</v>
          </cell>
          <cell r="H848" t="str">
            <v>SG_03_01 Sun Glass Hut_Silver_OWNED</v>
          </cell>
          <cell r="I848" t="str">
            <v>0000004032 Wilton Mall</v>
          </cell>
          <cell r="J848" t="str">
            <v>Silver Inline</v>
          </cell>
          <cell r="K848">
            <v>0</v>
          </cell>
        </row>
        <row r="849">
          <cell r="C849">
            <v>4043</v>
          </cell>
          <cell r="D849" t="str">
            <v>Core</v>
          </cell>
          <cell r="E849" t="str">
            <v>Silver</v>
          </cell>
          <cell r="F849" t="str">
            <v>Silver Inline</v>
          </cell>
          <cell r="G849" t="str">
            <v>Core</v>
          </cell>
          <cell r="H849" t="str">
            <v>SG_03_01 Sun Glass Hut_Silver_OWNED</v>
          </cell>
          <cell r="I849" t="str">
            <v>0000004043 Lloyd Center I</v>
          </cell>
          <cell r="J849" t="str">
            <v>Silver Inline</v>
          </cell>
          <cell r="K849">
            <v>0</v>
          </cell>
        </row>
        <row r="850">
          <cell r="C850">
            <v>4060</v>
          </cell>
          <cell r="D850" t="str">
            <v>Core</v>
          </cell>
          <cell r="E850" t="str">
            <v>Silver</v>
          </cell>
          <cell r="F850" t="str">
            <v>Silver Inline</v>
          </cell>
          <cell r="G850" t="str">
            <v>Core</v>
          </cell>
          <cell r="H850" t="str">
            <v>SG_03_01 Sun Glass Hut_Silver_OWNED</v>
          </cell>
          <cell r="I850" t="str">
            <v>0000004060 Pickering Town Centre</v>
          </cell>
          <cell r="J850" t="str">
            <v>Silver Inline</v>
          </cell>
          <cell r="K850">
            <v>0</v>
          </cell>
        </row>
        <row r="851">
          <cell r="C851">
            <v>4073</v>
          </cell>
          <cell r="D851" t="str">
            <v>Core</v>
          </cell>
          <cell r="E851" t="str">
            <v>Silver</v>
          </cell>
          <cell r="F851" t="str">
            <v>Silver Kiosk</v>
          </cell>
          <cell r="G851" t="str">
            <v>Core</v>
          </cell>
          <cell r="H851" t="str">
            <v>SG_03_01 Sun Glass Hut_Silver_OWNED</v>
          </cell>
          <cell r="I851" t="str">
            <v>0000004073 Northgate Mall</v>
          </cell>
          <cell r="J851" t="str">
            <v>Silver Kiosk</v>
          </cell>
          <cell r="K851">
            <v>0</v>
          </cell>
        </row>
        <row r="852">
          <cell r="C852">
            <v>4076</v>
          </cell>
          <cell r="D852" t="str">
            <v>Core</v>
          </cell>
          <cell r="E852" t="str">
            <v>Silver</v>
          </cell>
          <cell r="F852" t="str">
            <v>Silver Kiosk</v>
          </cell>
          <cell r="G852" t="str">
            <v>Core</v>
          </cell>
          <cell r="H852" t="str">
            <v>SG_03_01 Sun Glass Hut_Silver_OWNED</v>
          </cell>
          <cell r="I852" t="str">
            <v>0000004076 South Plains Mall</v>
          </cell>
          <cell r="J852" t="str">
            <v>Silver Kiosk</v>
          </cell>
          <cell r="K852">
            <v>0</v>
          </cell>
        </row>
        <row r="853">
          <cell r="C853">
            <v>4077</v>
          </cell>
          <cell r="D853" t="str">
            <v>Core</v>
          </cell>
          <cell r="E853" t="str">
            <v>Silver</v>
          </cell>
          <cell r="F853" t="str">
            <v>Silver Kiosk</v>
          </cell>
          <cell r="G853" t="str">
            <v>Core</v>
          </cell>
          <cell r="H853" t="str">
            <v>SG_03_01 Sun Glass Hut_Silver_OWNED</v>
          </cell>
          <cell r="I853" t="str">
            <v>0000004077 Oshawa Centre</v>
          </cell>
          <cell r="J853" t="str">
            <v>Silver Kiosk</v>
          </cell>
          <cell r="K853">
            <v>0</v>
          </cell>
        </row>
        <row r="854">
          <cell r="C854">
            <v>4082</v>
          </cell>
          <cell r="D854" t="str">
            <v>Core</v>
          </cell>
          <cell r="E854" t="str">
            <v>Silver</v>
          </cell>
          <cell r="F854" t="str">
            <v>Silver Kiosk</v>
          </cell>
          <cell r="G854" t="str">
            <v>Core</v>
          </cell>
          <cell r="H854" t="str">
            <v>SG_03_01 Sun Glass Hut_Silver_OWNED</v>
          </cell>
          <cell r="I854" t="str">
            <v>0000004082 Richland Mall</v>
          </cell>
          <cell r="J854" t="str">
            <v>Silver Kiosk</v>
          </cell>
          <cell r="K854">
            <v>0</v>
          </cell>
        </row>
        <row r="855">
          <cell r="C855">
            <v>4086</v>
          </cell>
          <cell r="D855" t="str">
            <v>Core</v>
          </cell>
          <cell r="E855" t="str">
            <v>Silver</v>
          </cell>
          <cell r="F855" t="str">
            <v>Silver Inline</v>
          </cell>
          <cell r="G855" t="str">
            <v>Core</v>
          </cell>
          <cell r="H855" t="str">
            <v>SG_03_01 Sun Glass Hut_Silver_OWNED</v>
          </cell>
          <cell r="I855" t="str">
            <v>0000004086 Meadows Mall</v>
          </cell>
          <cell r="J855" t="str">
            <v>Silver Inline</v>
          </cell>
          <cell r="K855">
            <v>0</v>
          </cell>
        </row>
        <row r="856">
          <cell r="C856">
            <v>4087</v>
          </cell>
          <cell r="D856" t="str">
            <v>Core</v>
          </cell>
          <cell r="E856" t="str">
            <v>Silver</v>
          </cell>
          <cell r="F856" t="str">
            <v>Silver Kiosk</v>
          </cell>
          <cell r="G856" t="str">
            <v>Core</v>
          </cell>
          <cell r="H856" t="str">
            <v>SG_03_01 Sun Glass Hut_Silver_OWNED</v>
          </cell>
          <cell r="I856" t="str">
            <v>0000004087 Bayshore Mall</v>
          </cell>
          <cell r="J856" t="str">
            <v>Silver Kiosk</v>
          </cell>
          <cell r="K856">
            <v>0</v>
          </cell>
        </row>
        <row r="857">
          <cell r="C857">
            <v>4090</v>
          </cell>
          <cell r="D857" t="str">
            <v>Core</v>
          </cell>
          <cell r="E857" t="str">
            <v>Silver</v>
          </cell>
          <cell r="F857" t="str">
            <v>Silver Kiosk</v>
          </cell>
          <cell r="G857" t="str">
            <v>Core</v>
          </cell>
          <cell r="H857" t="str">
            <v>SG_03_01 Sun Glass Hut_Silver_OWNED</v>
          </cell>
          <cell r="I857" t="str">
            <v>0000004090 Harford Mall</v>
          </cell>
          <cell r="J857" t="str">
            <v>Silver Kiosk</v>
          </cell>
          <cell r="K857">
            <v>0</v>
          </cell>
        </row>
        <row r="858">
          <cell r="C858">
            <v>4096</v>
          </cell>
          <cell r="D858" t="str">
            <v>Core</v>
          </cell>
          <cell r="E858" t="str">
            <v>Silver</v>
          </cell>
          <cell r="F858" t="str">
            <v>Platinum</v>
          </cell>
          <cell r="G858" t="str">
            <v>Core</v>
          </cell>
          <cell r="H858" t="str">
            <v>SG_03_01 Sun Glass Hut_Silver_OWNED</v>
          </cell>
          <cell r="I858" t="str">
            <v>0000004096 The Woodlands Mall</v>
          </cell>
          <cell r="J858" t="str">
            <v>Platinum - No CH</v>
          </cell>
          <cell r="K858">
            <v>0</v>
          </cell>
        </row>
        <row r="859">
          <cell r="C859">
            <v>4103</v>
          </cell>
          <cell r="D859" t="str">
            <v>Core</v>
          </cell>
          <cell r="E859" t="str">
            <v>Silver</v>
          </cell>
          <cell r="F859" t="str">
            <v>Silver Kiosk</v>
          </cell>
          <cell r="G859" t="str">
            <v>Core</v>
          </cell>
          <cell r="H859" t="str">
            <v>SG_03_01 Sun Glass Hut_Silver_OWNED</v>
          </cell>
          <cell r="I859" t="str">
            <v>0000004103 Volusia Mall</v>
          </cell>
          <cell r="J859" t="str">
            <v>Silver Kiosk</v>
          </cell>
          <cell r="K859">
            <v>0</v>
          </cell>
        </row>
        <row r="860">
          <cell r="C860">
            <v>4104</v>
          </cell>
          <cell r="D860" t="str">
            <v>Core</v>
          </cell>
          <cell r="E860" t="str">
            <v>Silver</v>
          </cell>
          <cell r="F860" t="str">
            <v>Silver Inline</v>
          </cell>
          <cell r="G860" t="str">
            <v>Core</v>
          </cell>
          <cell r="H860" t="str">
            <v>SG_03_01 Sun Glass Hut_Silver_OWNED</v>
          </cell>
          <cell r="I860" t="str">
            <v>0000004104 Desoto Square</v>
          </cell>
          <cell r="J860" t="str">
            <v>Silver Inline</v>
          </cell>
          <cell r="K860">
            <v>0</v>
          </cell>
        </row>
        <row r="861">
          <cell r="C861">
            <v>4109</v>
          </cell>
          <cell r="D861" t="str">
            <v>Core</v>
          </cell>
          <cell r="E861" t="str">
            <v>Silver</v>
          </cell>
          <cell r="F861" t="str">
            <v>Silver Kiosk</v>
          </cell>
          <cell r="G861" t="str">
            <v>Core</v>
          </cell>
          <cell r="H861" t="str">
            <v>SG_03_01 Sun Glass Hut_Silver_OWNED</v>
          </cell>
          <cell r="I861" t="str">
            <v>0000004109 Springfield Mall</v>
          </cell>
          <cell r="J861" t="str">
            <v>Silver Kiosk</v>
          </cell>
          <cell r="K861">
            <v>0</v>
          </cell>
        </row>
        <row r="862">
          <cell r="C862">
            <v>4111</v>
          </cell>
          <cell r="D862" t="str">
            <v>Core</v>
          </cell>
          <cell r="E862" t="str">
            <v>Silver</v>
          </cell>
          <cell r="F862" t="str">
            <v>Silver Inline</v>
          </cell>
          <cell r="G862" t="str">
            <v>Core</v>
          </cell>
          <cell r="H862" t="str">
            <v>SG_03_01 Sun Glass Hut_Silver_OWNED</v>
          </cell>
          <cell r="I862" t="str">
            <v>0000004111 Tyrone Square Mall</v>
          </cell>
          <cell r="J862" t="str">
            <v>Silver Inline</v>
          </cell>
          <cell r="K862">
            <v>0</v>
          </cell>
        </row>
        <row r="863">
          <cell r="C863">
            <v>4115</v>
          </cell>
          <cell r="D863" t="str">
            <v>Core</v>
          </cell>
          <cell r="E863" t="str">
            <v>Silver</v>
          </cell>
          <cell r="F863" t="str">
            <v>Silver Inline</v>
          </cell>
          <cell r="G863" t="str">
            <v>Core</v>
          </cell>
          <cell r="H863" t="str">
            <v>SG_03_01 Sun Glass Hut_Silver_OWNED</v>
          </cell>
          <cell r="I863" t="str">
            <v>0000004115 Edison Mall</v>
          </cell>
          <cell r="J863" t="str">
            <v>Silver Inline</v>
          </cell>
          <cell r="K863">
            <v>0</v>
          </cell>
        </row>
        <row r="864">
          <cell r="C864">
            <v>4133</v>
          </cell>
          <cell r="D864" t="str">
            <v>Core</v>
          </cell>
          <cell r="E864" t="str">
            <v>Silver</v>
          </cell>
          <cell r="F864" t="str">
            <v>Silver Kiosk</v>
          </cell>
          <cell r="G864" t="str">
            <v>Core</v>
          </cell>
          <cell r="H864" t="str">
            <v>SG_03_01 Sun Glass Hut_Silver_OWNED</v>
          </cell>
          <cell r="I864" t="str">
            <v>0000004133 Galleria At Sunset</v>
          </cell>
          <cell r="J864" t="str">
            <v>Silver Kiosk</v>
          </cell>
          <cell r="K864">
            <v>0</v>
          </cell>
        </row>
        <row r="865">
          <cell r="C865">
            <v>4135</v>
          </cell>
          <cell r="D865" t="str">
            <v>Core</v>
          </cell>
          <cell r="E865" t="str">
            <v>Silver</v>
          </cell>
          <cell r="F865" t="str">
            <v>Silver Inline</v>
          </cell>
          <cell r="G865" t="str">
            <v>Core</v>
          </cell>
          <cell r="H865" t="str">
            <v>SG_03_01 Sun Glass Hut_Silver_OWNED</v>
          </cell>
          <cell r="I865" t="str">
            <v>0000004135 Orange Park Mall</v>
          </cell>
          <cell r="J865" t="str">
            <v>Silver Inline</v>
          </cell>
          <cell r="K865">
            <v>0</v>
          </cell>
        </row>
        <row r="866">
          <cell r="C866">
            <v>4137</v>
          </cell>
          <cell r="D866" t="str">
            <v>Core</v>
          </cell>
          <cell r="E866" t="str">
            <v>Silver</v>
          </cell>
          <cell r="F866" t="str">
            <v>Silver Kiosk</v>
          </cell>
          <cell r="G866" t="str">
            <v>Core</v>
          </cell>
          <cell r="H866" t="str">
            <v>SG_03_01 Sun Glass Hut_Silver_OWNED</v>
          </cell>
          <cell r="I866" t="str">
            <v>0000004137 Ronald Reagan Washington Airpo</v>
          </cell>
          <cell r="J866" t="str">
            <v>Silver Kiosk</v>
          </cell>
          <cell r="K866">
            <v>0</v>
          </cell>
        </row>
        <row r="867">
          <cell r="C867">
            <v>4139</v>
          </cell>
          <cell r="D867" t="str">
            <v>Core</v>
          </cell>
          <cell r="E867" t="str">
            <v>Silver</v>
          </cell>
          <cell r="F867" t="str">
            <v>Silver Inline</v>
          </cell>
          <cell r="G867" t="str">
            <v>Core</v>
          </cell>
          <cell r="H867" t="str">
            <v>SG_03_01 Sun Glass Hut_Silver_OWNED</v>
          </cell>
          <cell r="I867" t="str">
            <v>0000004139 Southwest Plaza Mall</v>
          </cell>
          <cell r="J867" t="str">
            <v>Silver Inline</v>
          </cell>
          <cell r="K867">
            <v>0</v>
          </cell>
        </row>
        <row r="868">
          <cell r="C868">
            <v>4140</v>
          </cell>
          <cell r="D868" t="str">
            <v>Core</v>
          </cell>
          <cell r="E868" t="str">
            <v>Silver</v>
          </cell>
          <cell r="F868" t="str">
            <v>Silver Inline</v>
          </cell>
          <cell r="G868" t="str">
            <v>Core</v>
          </cell>
          <cell r="H868" t="str">
            <v>SG_03_01 Sun Glass Hut_Silver_OWNED</v>
          </cell>
          <cell r="I868" t="str">
            <v>0000004140 The Oaks Mall</v>
          </cell>
          <cell r="J868" t="str">
            <v>Silver Inline</v>
          </cell>
          <cell r="K868">
            <v>0</v>
          </cell>
        </row>
        <row r="869">
          <cell r="C869">
            <v>4143</v>
          </cell>
          <cell r="D869" t="str">
            <v>Core</v>
          </cell>
          <cell r="E869" t="str">
            <v>Silver</v>
          </cell>
          <cell r="F869" t="str">
            <v>Silver Kiosk</v>
          </cell>
          <cell r="G869" t="str">
            <v>Core</v>
          </cell>
          <cell r="H869" t="str">
            <v>SG_03_01 Sun Glass Hut_Silver_OWNED</v>
          </cell>
          <cell r="I869" t="str">
            <v>0000004143 Madison Square Mall</v>
          </cell>
          <cell r="J869" t="str">
            <v>Silver Kiosk</v>
          </cell>
          <cell r="K869">
            <v>0</v>
          </cell>
        </row>
        <row r="870">
          <cell r="C870">
            <v>4147</v>
          </cell>
          <cell r="D870" t="str">
            <v>Core</v>
          </cell>
          <cell r="E870" t="str">
            <v>Silver</v>
          </cell>
          <cell r="F870" t="str">
            <v>Silver Inline</v>
          </cell>
          <cell r="G870" t="str">
            <v>Core</v>
          </cell>
          <cell r="H870" t="str">
            <v>SG_03_01 Sun Glass Hut_Silver_OWNED</v>
          </cell>
          <cell r="I870" t="str">
            <v>0000004147 White Marsh Mall</v>
          </cell>
          <cell r="J870" t="str">
            <v>Silver Inline</v>
          </cell>
          <cell r="K870">
            <v>0</v>
          </cell>
        </row>
        <row r="871">
          <cell r="C871">
            <v>4171</v>
          </cell>
          <cell r="D871" t="str">
            <v>Core</v>
          </cell>
          <cell r="E871" t="str">
            <v>Silver</v>
          </cell>
          <cell r="F871" t="str">
            <v>Silver Kiosk</v>
          </cell>
          <cell r="G871" t="str">
            <v>Core</v>
          </cell>
          <cell r="H871" t="str">
            <v>SG_03_01 Sun Glass Hut_Silver_OWNED</v>
          </cell>
          <cell r="I871" t="str">
            <v>0000004171 Charleston Town Center</v>
          </cell>
          <cell r="J871" t="str">
            <v>Silver Kiosk</v>
          </cell>
          <cell r="K871">
            <v>0</v>
          </cell>
        </row>
        <row r="872">
          <cell r="C872">
            <v>4185</v>
          </cell>
          <cell r="D872" t="str">
            <v>Core</v>
          </cell>
          <cell r="E872" t="str">
            <v>Silver</v>
          </cell>
          <cell r="F872" t="str">
            <v>Silver Inline</v>
          </cell>
          <cell r="G872" t="str">
            <v>Core</v>
          </cell>
          <cell r="H872" t="str">
            <v>SG_03_01 Sun Glass Hut_Silver_OWNED</v>
          </cell>
          <cell r="I872" t="str">
            <v>0000004185 Eden Prairie Center</v>
          </cell>
          <cell r="J872" t="str">
            <v>Silver Inline</v>
          </cell>
          <cell r="K872">
            <v>0</v>
          </cell>
        </row>
        <row r="873">
          <cell r="C873">
            <v>4186</v>
          </cell>
          <cell r="D873" t="str">
            <v>Core</v>
          </cell>
          <cell r="E873" t="str">
            <v>Silver</v>
          </cell>
          <cell r="F873" t="str">
            <v>Silver Kiosk</v>
          </cell>
          <cell r="G873" t="str">
            <v>Core</v>
          </cell>
          <cell r="H873" t="str">
            <v>SG_03_01 Sun Glass Hut_Silver_OWNED</v>
          </cell>
          <cell r="I873" t="str">
            <v>0000004186 Westgate Mall</v>
          </cell>
          <cell r="J873" t="str">
            <v>Silver Kiosk</v>
          </cell>
          <cell r="K873">
            <v>0</v>
          </cell>
        </row>
        <row r="874">
          <cell r="C874">
            <v>4198</v>
          </cell>
          <cell r="D874" t="str">
            <v>Core</v>
          </cell>
          <cell r="E874" t="str">
            <v>Silver</v>
          </cell>
          <cell r="F874" t="str">
            <v>Silver Inline</v>
          </cell>
          <cell r="G874" t="str">
            <v>Core</v>
          </cell>
          <cell r="H874" t="str">
            <v>SG_03_01 Sun Glass Hut_Silver_OWNED</v>
          </cell>
          <cell r="I874" t="str">
            <v>0000004198 Holyoke Mall</v>
          </cell>
          <cell r="J874" t="str">
            <v>Silver Inline</v>
          </cell>
          <cell r="K874">
            <v>0</v>
          </cell>
        </row>
        <row r="875">
          <cell r="C875">
            <v>4207</v>
          </cell>
          <cell r="D875" t="str">
            <v>Core</v>
          </cell>
          <cell r="E875" t="str">
            <v>Silver</v>
          </cell>
          <cell r="F875" t="str">
            <v>Silver Inline</v>
          </cell>
          <cell r="G875" t="str">
            <v>Core</v>
          </cell>
          <cell r="H875" t="str">
            <v>SG_03_01 Sun Glass Hut_Silver_OWNED</v>
          </cell>
          <cell r="I875" t="str">
            <v>0000004207 Southern Park Mall</v>
          </cell>
          <cell r="J875" t="str">
            <v>Silver Inline</v>
          </cell>
          <cell r="K875">
            <v>0</v>
          </cell>
        </row>
        <row r="876">
          <cell r="C876">
            <v>4208</v>
          </cell>
          <cell r="D876" t="str">
            <v>Core</v>
          </cell>
          <cell r="E876" t="str">
            <v>Silver</v>
          </cell>
          <cell r="F876" t="str">
            <v>Silver Inline</v>
          </cell>
          <cell r="G876" t="str">
            <v>Core</v>
          </cell>
          <cell r="H876" t="str">
            <v>SG_03_01 Sun Glass Hut_Silver_OWNED</v>
          </cell>
          <cell r="I876" t="str">
            <v>0000004208 Trumbull Shopping Mall</v>
          </cell>
          <cell r="J876" t="str">
            <v>Silver Inline</v>
          </cell>
          <cell r="K876">
            <v>0</v>
          </cell>
        </row>
        <row r="877">
          <cell r="C877">
            <v>4231</v>
          </cell>
          <cell r="D877" t="str">
            <v>Core</v>
          </cell>
          <cell r="E877" t="str">
            <v>Silver</v>
          </cell>
          <cell r="F877" t="str">
            <v>Silver Inline</v>
          </cell>
          <cell r="G877" t="str">
            <v>Core</v>
          </cell>
          <cell r="H877" t="str">
            <v>SG_03_01 Sun Glass Hut_Silver_OWNED</v>
          </cell>
          <cell r="I877" t="str">
            <v>0000004231 Montgomery Mall</v>
          </cell>
          <cell r="J877" t="str">
            <v>Silver Inline</v>
          </cell>
          <cell r="K877">
            <v>0</v>
          </cell>
        </row>
        <row r="878">
          <cell r="C878">
            <v>4237</v>
          </cell>
          <cell r="D878" t="str">
            <v>Core</v>
          </cell>
          <cell r="E878" t="str">
            <v>Silver</v>
          </cell>
          <cell r="F878" t="str">
            <v>Silver Kiosk</v>
          </cell>
          <cell r="G878" t="str">
            <v>Core</v>
          </cell>
          <cell r="H878" t="str">
            <v>SG_03_01 Sun Glass Hut_Silver_OWNED</v>
          </cell>
          <cell r="I878" t="str">
            <v>0000004237 Treasure Coast Square</v>
          </cell>
          <cell r="J878" t="str">
            <v>Silver Kiosk</v>
          </cell>
          <cell r="K878">
            <v>0</v>
          </cell>
        </row>
        <row r="879">
          <cell r="C879">
            <v>4241</v>
          </cell>
          <cell r="D879" t="str">
            <v>Core</v>
          </cell>
          <cell r="E879" t="str">
            <v>Silver</v>
          </cell>
          <cell r="F879" t="str">
            <v>Silver Kiosk</v>
          </cell>
          <cell r="G879" t="str">
            <v>Core</v>
          </cell>
          <cell r="H879" t="str">
            <v>SG_03_01 Sun Glass Hut_Silver_OWNED</v>
          </cell>
          <cell r="I879" t="str">
            <v>0000004241 South Shore Mall</v>
          </cell>
          <cell r="J879" t="str">
            <v>Silver Kiosk</v>
          </cell>
          <cell r="K879">
            <v>0</v>
          </cell>
        </row>
        <row r="880">
          <cell r="C880">
            <v>4245</v>
          </cell>
          <cell r="D880" t="str">
            <v>Core</v>
          </cell>
          <cell r="E880" t="str">
            <v>Silver</v>
          </cell>
          <cell r="F880" t="str">
            <v>Silver Inline</v>
          </cell>
          <cell r="G880" t="str">
            <v>Core</v>
          </cell>
          <cell r="H880" t="str">
            <v>SG_03_01 Sun Glass Hut_Silver_OWNED</v>
          </cell>
          <cell r="I880" t="str">
            <v>0000004245 Louis Joliet Mall</v>
          </cell>
          <cell r="J880" t="str">
            <v>Silver Inline</v>
          </cell>
          <cell r="K880">
            <v>0</v>
          </cell>
        </row>
        <row r="881">
          <cell r="C881">
            <v>4248</v>
          </cell>
          <cell r="D881" t="str">
            <v>Core</v>
          </cell>
          <cell r="E881" t="str">
            <v>Silver</v>
          </cell>
          <cell r="F881" t="str">
            <v>Silver Inline</v>
          </cell>
          <cell r="G881" t="str">
            <v>Core</v>
          </cell>
          <cell r="H881" t="str">
            <v>SG_03_01 Sun Glass Hut_Silver_OWNED</v>
          </cell>
          <cell r="I881" t="str">
            <v>0000004248 Georgia Square</v>
          </cell>
          <cell r="J881" t="str">
            <v>Silver Inline</v>
          </cell>
          <cell r="K881">
            <v>0</v>
          </cell>
        </row>
        <row r="882">
          <cell r="C882">
            <v>4251</v>
          </cell>
          <cell r="D882" t="str">
            <v>Core</v>
          </cell>
          <cell r="E882" t="str">
            <v>Silver</v>
          </cell>
          <cell r="F882" t="str">
            <v>Silver Inline</v>
          </cell>
          <cell r="G882" t="str">
            <v>Core</v>
          </cell>
          <cell r="H882" t="str">
            <v>SG_03_01 Sun Glass Hut_Silver_OWNED</v>
          </cell>
          <cell r="I882" t="str">
            <v>0000004251 Quail Springs Mall</v>
          </cell>
          <cell r="J882" t="str">
            <v>Silver Inline</v>
          </cell>
          <cell r="K882">
            <v>0</v>
          </cell>
        </row>
        <row r="883">
          <cell r="C883">
            <v>4256</v>
          </cell>
          <cell r="D883" t="str">
            <v>Core</v>
          </cell>
          <cell r="E883" t="str">
            <v>Silver</v>
          </cell>
          <cell r="F883" t="str">
            <v>Silver Kiosk</v>
          </cell>
          <cell r="G883" t="str">
            <v>Core</v>
          </cell>
          <cell r="H883" t="str">
            <v>SG_03_01 Sun Glass Hut_Silver_OWNED</v>
          </cell>
          <cell r="I883" t="str">
            <v>0000004256 South Hill Mall</v>
          </cell>
          <cell r="J883" t="str">
            <v>Silver Kiosk</v>
          </cell>
          <cell r="K883">
            <v>0</v>
          </cell>
        </row>
        <row r="884">
          <cell r="C884">
            <v>4257</v>
          </cell>
          <cell r="D884" t="str">
            <v>Core</v>
          </cell>
          <cell r="E884" t="str">
            <v>Silver</v>
          </cell>
          <cell r="F884" t="str">
            <v>Silver Inline</v>
          </cell>
          <cell r="G884" t="str">
            <v>Core</v>
          </cell>
          <cell r="H884" t="str">
            <v>SG_03_01 Sun Glass Hut_Silver_OWNED</v>
          </cell>
          <cell r="I884" t="str">
            <v>0000004257 Chesterfield Towne Center</v>
          </cell>
          <cell r="J884" t="str">
            <v>Silver Inline</v>
          </cell>
          <cell r="K884">
            <v>0</v>
          </cell>
        </row>
        <row r="885">
          <cell r="C885">
            <v>4264</v>
          </cell>
          <cell r="D885" t="str">
            <v>Core</v>
          </cell>
          <cell r="E885" t="str">
            <v>Silver</v>
          </cell>
          <cell r="F885" t="str">
            <v>Silver Inline</v>
          </cell>
          <cell r="G885" t="str">
            <v>Core</v>
          </cell>
          <cell r="H885" t="str">
            <v>SG_03_01 Sun Glass Hut_Silver_OWNED</v>
          </cell>
          <cell r="I885" t="str">
            <v>0000004264 Woodland Mall</v>
          </cell>
          <cell r="J885" t="str">
            <v>Silver Inline</v>
          </cell>
          <cell r="K885">
            <v>0</v>
          </cell>
        </row>
        <row r="886">
          <cell r="C886">
            <v>4270</v>
          </cell>
          <cell r="D886" t="str">
            <v>Core</v>
          </cell>
          <cell r="E886" t="str">
            <v>Silver</v>
          </cell>
          <cell r="F886" t="str">
            <v>Silver Inline</v>
          </cell>
          <cell r="G886" t="str">
            <v>Core</v>
          </cell>
          <cell r="H886" t="str">
            <v>SG_03_01 Sun Glass Hut_Silver_OWNED</v>
          </cell>
          <cell r="I886" t="str">
            <v>0000004270 Mall Of New Hampshire</v>
          </cell>
          <cell r="J886" t="str">
            <v>Silver Inline</v>
          </cell>
          <cell r="K886">
            <v>0</v>
          </cell>
        </row>
        <row r="887">
          <cell r="C887">
            <v>4271</v>
          </cell>
          <cell r="D887" t="str">
            <v>Core</v>
          </cell>
          <cell r="E887" t="str">
            <v>Silver</v>
          </cell>
          <cell r="F887" t="str">
            <v>Silver Kiosk</v>
          </cell>
          <cell r="G887" t="str">
            <v>Core</v>
          </cell>
          <cell r="H887" t="str">
            <v>SG_03_01 Sun Glass Hut_Silver_OWNED</v>
          </cell>
          <cell r="I887" t="str">
            <v>0000004271 Fox Run Mall</v>
          </cell>
          <cell r="J887" t="str">
            <v>Silver Kiosk</v>
          </cell>
          <cell r="K887">
            <v>0</v>
          </cell>
        </row>
        <row r="888">
          <cell r="C888">
            <v>4272</v>
          </cell>
          <cell r="D888" t="str">
            <v>Core</v>
          </cell>
          <cell r="E888" t="str">
            <v>Silver</v>
          </cell>
          <cell r="F888" t="str">
            <v>Silver Inline</v>
          </cell>
          <cell r="G888" t="str">
            <v>Core</v>
          </cell>
          <cell r="H888" t="str">
            <v>SG_03_01 Sun Glass Hut_Silver_OWNED</v>
          </cell>
          <cell r="I888" t="str">
            <v>0000004272 Lakeland Square Mall</v>
          </cell>
          <cell r="J888" t="str">
            <v>Silver Inline</v>
          </cell>
          <cell r="K888">
            <v>0</v>
          </cell>
        </row>
        <row r="889">
          <cell r="C889">
            <v>4273</v>
          </cell>
          <cell r="D889" t="str">
            <v>Core</v>
          </cell>
          <cell r="E889" t="str">
            <v>Silver</v>
          </cell>
          <cell r="F889" t="str">
            <v>Silver Kiosk</v>
          </cell>
          <cell r="G889" t="str">
            <v>Core</v>
          </cell>
          <cell r="H889" t="str">
            <v>SG_03_01 Sun Glass Hut_Silver_OWNED</v>
          </cell>
          <cell r="I889" t="str">
            <v>0000004273 New River Valley Mall</v>
          </cell>
          <cell r="J889" t="str">
            <v>Silver Kiosk</v>
          </cell>
          <cell r="K889">
            <v>0</v>
          </cell>
        </row>
        <row r="890">
          <cell r="C890">
            <v>4275</v>
          </cell>
          <cell r="D890" t="str">
            <v>Core</v>
          </cell>
          <cell r="E890" t="str">
            <v>Silver</v>
          </cell>
          <cell r="F890" t="str">
            <v>Silver Inline</v>
          </cell>
          <cell r="G890" t="str">
            <v>Core</v>
          </cell>
          <cell r="H890" t="str">
            <v>SG_03_01 Sun Glass Hut_Silver_OWNED</v>
          </cell>
          <cell r="I890" t="str">
            <v>0000004275 Music City Mall</v>
          </cell>
          <cell r="J890" t="str">
            <v>Silver Inline</v>
          </cell>
          <cell r="K890">
            <v>0</v>
          </cell>
        </row>
        <row r="891">
          <cell r="C891">
            <v>4281</v>
          </cell>
          <cell r="D891" t="str">
            <v>Core</v>
          </cell>
          <cell r="E891" t="str">
            <v>Silver</v>
          </cell>
          <cell r="F891" t="str">
            <v>Silver Kiosk</v>
          </cell>
          <cell r="G891" t="str">
            <v>Core</v>
          </cell>
          <cell r="H891" t="str">
            <v>SG_03_01 Sun Glass Hut_Silver_OWNED</v>
          </cell>
          <cell r="I891" t="str">
            <v>0000004281 Jefferson Valley Mall</v>
          </cell>
          <cell r="J891" t="str">
            <v>Silver Kiosk</v>
          </cell>
          <cell r="K891">
            <v>0</v>
          </cell>
        </row>
        <row r="892">
          <cell r="C892">
            <v>4289</v>
          </cell>
          <cell r="D892" t="str">
            <v>Core</v>
          </cell>
          <cell r="E892" t="str">
            <v>Silver</v>
          </cell>
          <cell r="F892" t="str">
            <v>Silver Kiosk</v>
          </cell>
          <cell r="G892" t="str">
            <v>Core</v>
          </cell>
          <cell r="H892" t="str">
            <v>SG_03_01 Sun Glass Hut_Silver_OWNED</v>
          </cell>
          <cell r="I892" t="str">
            <v>0000004289 Great Lakes Mall</v>
          </cell>
          <cell r="J892" t="str">
            <v>Silver Kiosk</v>
          </cell>
          <cell r="K892">
            <v>0</v>
          </cell>
        </row>
        <row r="893">
          <cell r="C893">
            <v>4292</v>
          </cell>
          <cell r="D893" t="str">
            <v>Core</v>
          </cell>
          <cell r="E893" t="str">
            <v>Silver</v>
          </cell>
          <cell r="F893" t="str">
            <v>Silver Kiosk</v>
          </cell>
          <cell r="G893" t="str">
            <v>Core</v>
          </cell>
          <cell r="H893" t="str">
            <v>SG_03_01 Sun Glass Hut_Silver_OWNED</v>
          </cell>
          <cell r="I893" t="str">
            <v>0000004292 Southpark Mall</v>
          </cell>
          <cell r="J893" t="str">
            <v>Silver Kiosk</v>
          </cell>
          <cell r="K893">
            <v>0</v>
          </cell>
        </row>
        <row r="894">
          <cell r="C894">
            <v>4295</v>
          </cell>
          <cell r="D894" t="str">
            <v>Core</v>
          </cell>
          <cell r="E894" t="str">
            <v>Silver</v>
          </cell>
          <cell r="F894" t="str">
            <v>Silver Inline</v>
          </cell>
          <cell r="G894" t="str">
            <v>Core</v>
          </cell>
          <cell r="H894" t="str">
            <v>SG_03_01 Sun Glass Hut_Silver_OWNED</v>
          </cell>
          <cell r="I894" t="str">
            <v>0000004295 Melbourne Square</v>
          </cell>
          <cell r="J894" t="str">
            <v>Silver Inline</v>
          </cell>
          <cell r="K894">
            <v>0</v>
          </cell>
        </row>
        <row r="895">
          <cell r="C895">
            <v>4299</v>
          </cell>
          <cell r="D895" t="str">
            <v>Core</v>
          </cell>
          <cell r="E895" t="str">
            <v>Silver</v>
          </cell>
          <cell r="F895" t="str">
            <v>Silver Kiosk</v>
          </cell>
          <cell r="G895" t="str">
            <v>Core</v>
          </cell>
          <cell r="H895" t="str">
            <v>SG_03_01 Sun Glass Hut_Silver_OWNED</v>
          </cell>
          <cell r="I895" t="str">
            <v>0000004299 Bangor Mall</v>
          </cell>
          <cell r="J895" t="str">
            <v>Silver Kiosk</v>
          </cell>
          <cell r="K895">
            <v>0</v>
          </cell>
        </row>
        <row r="896">
          <cell r="C896">
            <v>4300</v>
          </cell>
          <cell r="D896" t="str">
            <v>Core</v>
          </cell>
          <cell r="E896" t="str">
            <v>Silver</v>
          </cell>
          <cell r="F896" t="str">
            <v>Silver Inline</v>
          </cell>
          <cell r="G896" t="str">
            <v>Core</v>
          </cell>
          <cell r="H896" t="str">
            <v>SG_03_01 Sun Glass Hut_Silver_OWNED</v>
          </cell>
          <cell r="I896" t="str">
            <v>0000004300 Manassas Mall</v>
          </cell>
          <cell r="J896" t="str">
            <v>Silver Inline</v>
          </cell>
          <cell r="K896">
            <v>0</v>
          </cell>
        </row>
        <row r="897">
          <cell r="C897">
            <v>4306</v>
          </cell>
          <cell r="D897" t="str">
            <v>Core</v>
          </cell>
          <cell r="E897" t="str">
            <v>Silver</v>
          </cell>
          <cell r="F897" t="str">
            <v>Silver Inline</v>
          </cell>
          <cell r="G897" t="str">
            <v>Core</v>
          </cell>
          <cell r="H897" t="str">
            <v>SG_03_01 Sun Glass Hut_Silver_OWNED</v>
          </cell>
          <cell r="I897" t="str">
            <v>0000004306 Plaza Camino Real</v>
          </cell>
          <cell r="J897" t="str">
            <v>Silver Inline</v>
          </cell>
          <cell r="K897">
            <v>0</v>
          </cell>
        </row>
        <row r="898">
          <cell r="C898">
            <v>4307</v>
          </cell>
          <cell r="D898" t="str">
            <v>Core</v>
          </cell>
          <cell r="E898" t="str">
            <v>Silver</v>
          </cell>
          <cell r="F898" t="str">
            <v>Silver Inline</v>
          </cell>
          <cell r="G898" t="str">
            <v>Core</v>
          </cell>
          <cell r="H898" t="str">
            <v>SG_03_01 Sun Glass Hut_Silver_OWNED</v>
          </cell>
          <cell r="I898" t="str">
            <v>0000004307 Capital Mall</v>
          </cell>
          <cell r="J898" t="str">
            <v>Silver Inline</v>
          </cell>
          <cell r="K898">
            <v>0</v>
          </cell>
        </row>
        <row r="899">
          <cell r="C899">
            <v>4315</v>
          </cell>
          <cell r="D899" t="str">
            <v>Core</v>
          </cell>
          <cell r="E899" t="str">
            <v>Silver</v>
          </cell>
          <cell r="F899" t="str">
            <v>Silver Kiosk</v>
          </cell>
          <cell r="G899" t="str">
            <v>Core</v>
          </cell>
          <cell r="H899" t="str">
            <v>SG_03_01 Sun Glass Hut_Silver_OWNED</v>
          </cell>
          <cell r="I899" t="str">
            <v>0000004315 Cornwall Centre</v>
          </cell>
          <cell r="J899" t="str">
            <v>Silver Kiosk</v>
          </cell>
          <cell r="K899">
            <v>0</v>
          </cell>
        </row>
        <row r="900">
          <cell r="C900">
            <v>4318</v>
          </cell>
          <cell r="D900" t="str">
            <v>Core</v>
          </cell>
          <cell r="E900" t="str">
            <v>Silver</v>
          </cell>
          <cell r="F900" t="str">
            <v>Silver Inline</v>
          </cell>
          <cell r="G900" t="str">
            <v>Core</v>
          </cell>
          <cell r="H900" t="str">
            <v>SG_03_01 Sun Glass Hut_Silver_OWNED</v>
          </cell>
          <cell r="I900" t="str">
            <v>0000004318 Sierra Vista Mall</v>
          </cell>
          <cell r="J900" t="str">
            <v>Silver Inline</v>
          </cell>
          <cell r="K900">
            <v>0</v>
          </cell>
        </row>
        <row r="901">
          <cell r="C901">
            <v>4333</v>
          </cell>
          <cell r="D901" t="str">
            <v>Core</v>
          </cell>
          <cell r="E901" t="str">
            <v>Silver</v>
          </cell>
          <cell r="F901" t="str">
            <v>Silver Inline</v>
          </cell>
          <cell r="G901" t="str">
            <v>Core</v>
          </cell>
          <cell r="H901" t="str">
            <v>SG_03_01 Sun Glass Hut_Silver_OWNED</v>
          </cell>
          <cell r="I901" t="str">
            <v>0000004333 Meridian Mall</v>
          </cell>
          <cell r="J901" t="str">
            <v>Silver Inline</v>
          </cell>
          <cell r="K901">
            <v>0</v>
          </cell>
        </row>
        <row r="902">
          <cell r="C902">
            <v>4338</v>
          </cell>
          <cell r="D902" t="str">
            <v>Core</v>
          </cell>
          <cell r="E902" t="str">
            <v>Silver</v>
          </cell>
          <cell r="F902" t="str">
            <v>Silver Inline</v>
          </cell>
          <cell r="G902" t="str">
            <v>Core</v>
          </cell>
          <cell r="H902" t="str">
            <v>SG_03_01 Sun Glass Hut_Silver_OWNED</v>
          </cell>
          <cell r="I902" t="str">
            <v>0000004338 Spring Hill Mall</v>
          </cell>
          <cell r="J902" t="str">
            <v>Silver Inline</v>
          </cell>
          <cell r="K902">
            <v>0</v>
          </cell>
        </row>
        <row r="903">
          <cell r="C903">
            <v>4340</v>
          </cell>
          <cell r="D903" t="str">
            <v>Core</v>
          </cell>
          <cell r="E903" t="str">
            <v>Silver</v>
          </cell>
          <cell r="F903" t="str">
            <v>Silver Inline</v>
          </cell>
          <cell r="G903" t="str">
            <v>Core</v>
          </cell>
          <cell r="H903" t="str">
            <v>SG_03_01 Sun Glass Hut_Silver_OWNED</v>
          </cell>
          <cell r="I903" t="str">
            <v>0000004340 Northgate Mall</v>
          </cell>
          <cell r="J903" t="str">
            <v>Silver Inline</v>
          </cell>
          <cell r="K903">
            <v>0</v>
          </cell>
        </row>
        <row r="904">
          <cell r="C904">
            <v>4341</v>
          </cell>
          <cell r="D904" t="str">
            <v>Core</v>
          </cell>
          <cell r="E904" t="str">
            <v>Silver</v>
          </cell>
          <cell r="F904" t="str">
            <v>Silver Kiosk</v>
          </cell>
          <cell r="G904" t="str">
            <v>Core</v>
          </cell>
          <cell r="H904" t="str">
            <v>SG_03_01 Sun Glass Hut_Silver_OWNED</v>
          </cell>
          <cell r="I904" t="str">
            <v>0000004341 Tacoma Mall</v>
          </cell>
          <cell r="J904" t="str">
            <v>Silver Kiosk</v>
          </cell>
          <cell r="K904">
            <v>0</v>
          </cell>
        </row>
        <row r="905">
          <cell r="C905">
            <v>4344</v>
          </cell>
          <cell r="D905" t="str">
            <v>Core</v>
          </cell>
          <cell r="E905" t="str">
            <v>Silver</v>
          </cell>
          <cell r="F905" t="str">
            <v>Silver Inline</v>
          </cell>
          <cell r="G905" t="str">
            <v>Core</v>
          </cell>
          <cell r="H905" t="str">
            <v>SG_03_01 Sun Glass Hut_Silver_OWNED</v>
          </cell>
          <cell r="I905" t="str">
            <v>0000004344 Alderwood Mall</v>
          </cell>
          <cell r="J905" t="str">
            <v>Silver Inline</v>
          </cell>
          <cell r="K905">
            <v>0</v>
          </cell>
        </row>
        <row r="906">
          <cell r="C906">
            <v>4359</v>
          </cell>
          <cell r="D906" t="str">
            <v>Core</v>
          </cell>
          <cell r="E906" t="str">
            <v>Silver</v>
          </cell>
          <cell r="F906" t="str">
            <v>Silver Kiosk</v>
          </cell>
          <cell r="G906" t="str">
            <v>Core</v>
          </cell>
          <cell r="H906" t="str">
            <v>SG_03_01 Sun Glass Hut_Silver_OWNED</v>
          </cell>
          <cell r="I906" t="str">
            <v>0000004359 Southridge Mall</v>
          </cell>
          <cell r="J906" t="str">
            <v>Silver Kiosk</v>
          </cell>
          <cell r="K906">
            <v>0</v>
          </cell>
        </row>
        <row r="907">
          <cell r="C907">
            <v>4370</v>
          </cell>
          <cell r="D907" t="str">
            <v>Core</v>
          </cell>
          <cell r="E907" t="str">
            <v>Silver</v>
          </cell>
          <cell r="F907" t="str">
            <v>Silver Inline</v>
          </cell>
          <cell r="G907" t="str">
            <v>Core</v>
          </cell>
          <cell r="H907" t="str">
            <v>SG_03_01 Sun Glass Hut_Silver_OWNED</v>
          </cell>
          <cell r="I907" t="str">
            <v>0000004370 Clackamas Town Center</v>
          </cell>
          <cell r="J907" t="str">
            <v>Silver Inline</v>
          </cell>
          <cell r="K907">
            <v>0</v>
          </cell>
        </row>
        <row r="908">
          <cell r="C908">
            <v>4376</v>
          </cell>
          <cell r="D908" t="str">
            <v>Core</v>
          </cell>
          <cell r="E908" t="str">
            <v>Silver</v>
          </cell>
          <cell r="F908" t="str">
            <v>Silver Inline</v>
          </cell>
          <cell r="G908" t="str">
            <v>Core</v>
          </cell>
          <cell r="H908" t="str">
            <v>SG_03_01 Sun Glass Hut_Silver_OWNED</v>
          </cell>
          <cell r="I908" t="str">
            <v>0000004376 Charlottesville Fashion Square</v>
          </cell>
          <cell r="J908" t="str">
            <v>Silver Inline</v>
          </cell>
          <cell r="K908">
            <v>0</v>
          </cell>
        </row>
        <row r="909">
          <cell r="C909">
            <v>4386</v>
          </cell>
          <cell r="D909" t="str">
            <v>Core</v>
          </cell>
          <cell r="E909" t="str">
            <v>Silver</v>
          </cell>
          <cell r="F909" t="str">
            <v>Silver Kiosk</v>
          </cell>
          <cell r="G909" t="str">
            <v>Core</v>
          </cell>
          <cell r="H909" t="str">
            <v>SG_03_01 Sun Glass Hut_Silver_OWNED</v>
          </cell>
          <cell r="I909" t="str">
            <v>0000004386 Port Charlotte Town Center</v>
          </cell>
          <cell r="J909" t="str">
            <v>Silver Kiosk</v>
          </cell>
          <cell r="K909">
            <v>0</v>
          </cell>
        </row>
        <row r="910">
          <cell r="C910">
            <v>4387</v>
          </cell>
          <cell r="D910" t="str">
            <v>Core</v>
          </cell>
          <cell r="E910" t="str">
            <v>Silver</v>
          </cell>
          <cell r="F910" t="str">
            <v>Silver Kiosk</v>
          </cell>
          <cell r="G910" t="str">
            <v>Core</v>
          </cell>
          <cell r="H910" t="str">
            <v>SG_03_01 Sun Glass Hut_Silver_OWNED</v>
          </cell>
          <cell r="I910" t="str">
            <v>0000004387 Victoria Mall</v>
          </cell>
          <cell r="J910" t="str">
            <v>Silver Kiosk</v>
          </cell>
          <cell r="K910">
            <v>0</v>
          </cell>
        </row>
        <row r="911">
          <cell r="C911">
            <v>4397</v>
          </cell>
          <cell r="D911" t="str">
            <v>Core</v>
          </cell>
          <cell r="E911" t="str">
            <v>Silver</v>
          </cell>
          <cell r="F911" t="str">
            <v>Silver Kiosk</v>
          </cell>
          <cell r="G911" t="str">
            <v>Core</v>
          </cell>
          <cell r="H911" t="str">
            <v>SG_03_01 Sun Glass Hut_Silver_OWNED</v>
          </cell>
          <cell r="I911" t="str">
            <v>0000004397 Coastal Grand</v>
          </cell>
          <cell r="J911" t="str">
            <v>Silver Kiosk</v>
          </cell>
          <cell r="K911">
            <v>0</v>
          </cell>
        </row>
        <row r="912">
          <cell r="C912">
            <v>4402</v>
          </cell>
          <cell r="D912" t="str">
            <v>Core</v>
          </cell>
          <cell r="E912" t="str">
            <v>Silver</v>
          </cell>
          <cell r="F912" t="str">
            <v>Silver Inline</v>
          </cell>
          <cell r="G912" t="str">
            <v>Core</v>
          </cell>
          <cell r="H912" t="str">
            <v>SG_03_01 Sun Glass Hut_Silver_OWNED</v>
          </cell>
          <cell r="I912" t="str">
            <v>0000004402 Eastern Shore Centre</v>
          </cell>
          <cell r="J912" t="str">
            <v>Silver Inline</v>
          </cell>
          <cell r="K912">
            <v>0</v>
          </cell>
        </row>
        <row r="913">
          <cell r="C913">
            <v>4432</v>
          </cell>
          <cell r="D913" t="str">
            <v>Core</v>
          </cell>
          <cell r="E913" t="str">
            <v>Silver</v>
          </cell>
          <cell r="F913" t="str">
            <v>Silver Inline</v>
          </cell>
          <cell r="G913" t="str">
            <v>Core</v>
          </cell>
          <cell r="H913" t="str">
            <v>SG_03_01 Sun Glass Hut_Silver_OWNED</v>
          </cell>
          <cell r="I913" t="str">
            <v>0000004432 Mall Of America</v>
          </cell>
          <cell r="J913" t="str">
            <v>Silver Inline</v>
          </cell>
          <cell r="K913">
            <v>0</v>
          </cell>
        </row>
        <row r="914">
          <cell r="C914">
            <v>4435</v>
          </cell>
          <cell r="D914" t="str">
            <v>Core</v>
          </cell>
          <cell r="E914" t="str">
            <v>Silver</v>
          </cell>
          <cell r="F914" t="str">
            <v>Silver Inline</v>
          </cell>
          <cell r="G914" t="str">
            <v>Core</v>
          </cell>
          <cell r="H914" t="str">
            <v>SG_03_01 Sun Glass Hut_Silver_OWNED</v>
          </cell>
          <cell r="I914" t="str">
            <v>0000004435 Cross Creek Mall</v>
          </cell>
          <cell r="J914" t="str">
            <v>Silver Inline</v>
          </cell>
          <cell r="K914">
            <v>0</v>
          </cell>
        </row>
        <row r="915">
          <cell r="C915">
            <v>4443</v>
          </cell>
          <cell r="D915" t="str">
            <v>Core</v>
          </cell>
          <cell r="E915" t="str">
            <v>Silver</v>
          </cell>
          <cell r="F915" t="str">
            <v>Silver Inline</v>
          </cell>
          <cell r="G915" t="str">
            <v>Core</v>
          </cell>
          <cell r="H915" t="str">
            <v>SG_03_01 Sun Glass Hut_Silver_OWNED</v>
          </cell>
          <cell r="I915" t="str">
            <v>0000004443 Pheasant Lane Mall</v>
          </cell>
          <cell r="J915" t="str">
            <v>Silver Inline</v>
          </cell>
          <cell r="K915">
            <v>0</v>
          </cell>
        </row>
        <row r="916">
          <cell r="C916">
            <v>4450</v>
          </cell>
          <cell r="D916" t="str">
            <v>Core</v>
          </cell>
          <cell r="E916" t="str">
            <v>Silver</v>
          </cell>
          <cell r="F916" t="str">
            <v>Silver Inline</v>
          </cell>
          <cell r="G916" t="str">
            <v>Core</v>
          </cell>
          <cell r="H916" t="str">
            <v>SG_03_01 Sun Glass Hut_Silver_OWNED</v>
          </cell>
          <cell r="I916" t="str">
            <v>0000004450 Briarwood Mall</v>
          </cell>
          <cell r="J916" t="str">
            <v>Silver Inline</v>
          </cell>
          <cell r="K916">
            <v>0</v>
          </cell>
        </row>
        <row r="917">
          <cell r="C917">
            <v>4451</v>
          </cell>
          <cell r="D917" t="str">
            <v>Core</v>
          </cell>
          <cell r="E917" t="str">
            <v>Silver</v>
          </cell>
          <cell r="F917" t="str">
            <v>Silver Inline</v>
          </cell>
          <cell r="G917" t="str">
            <v>Core</v>
          </cell>
          <cell r="H917" t="str">
            <v>SG_03_01 Sun Glass Hut_Silver_OWNED</v>
          </cell>
          <cell r="I917" t="str">
            <v>0000004451 Carolina Place Mall</v>
          </cell>
          <cell r="J917" t="str">
            <v>Silver Inline</v>
          </cell>
          <cell r="K917">
            <v>0</v>
          </cell>
        </row>
        <row r="918">
          <cell r="C918">
            <v>4453</v>
          </cell>
          <cell r="D918" t="str">
            <v>Core</v>
          </cell>
          <cell r="E918" t="str">
            <v>Silver</v>
          </cell>
          <cell r="F918" t="str">
            <v>Silver Inline</v>
          </cell>
          <cell r="G918" t="str">
            <v>Core</v>
          </cell>
          <cell r="H918" t="str">
            <v>SG_03_01 Sun Glass Hut_Silver_OWNED</v>
          </cell>
          <cell r="I918" t="str">
            <v>0000004453 Connecticut Post Mall</v>
          </cell>
          <cell r="J918" t="str">
            <v>Silver Inline</v>
          </cell>
          <cell r="K918">
            <v>0</v>
          </cell>
        </row>
        <row r="919">
          <cell r="C919">
            <v>4455</v>
          </cell>
          <cell r="D919" t="str">
            <v>Core</v>
          </cell>
          <cell r="E919" t="str">
            <v>Silver</v>
          </cell>
          <cell r="F919" t="str">
            <v>Silver Inline</v>
          </cell>
          <cell r="G919" t="str">
            <v>Core</v>
          </cell>
          <cell r="H919" t="str">
            <v>SG_03_01 Sun Glass Hut_Silver_OWNED</v>
          </cell>
          <cell r="I919" t="str">
            <v>0000004455 Florence Mall</v>
          </cell>
          <cell r="J919" t="str">
            <v>Silver Inline</v>
          </cell>
          <cell r="K919">
            <v>0</v>
          </cell>
        </row>
        <row r="920">
          <cell r="C920">
            <v>4471</v>
          </cell>
          <cell r="D920" t="str">
            <v>Core</v>
          </cell>
          <cell r="E920" t="str">
            <v>Silver</v>
          </cell>
          <cell r="F920" t="str">
            <v>Silver Inline</v>
          </cell>
          <cell r="G920" t="str">
            <v>Core</v>
          </cell>
          <cell r="H920" t="str">
            <v>SG_03_01 Sun Glass Hut_Silver_OWNED</v>
          </cell>
          <cell r="I920" t="str">
            <v>0000004471 Dayton Mall</v>
          </cell>
          <cell r="J920" t="str">
            <v>Silver Inline</v>
          </cell>
          <cell r="K920">
            <v>0</v>
          </cell>
        </row>
        <row r="921">
          <cell r="C921">
            <v>4476</v>
          </cell>
          <cell r="D921" t="str">
            <v>Core</v>
          </cell>
          <cell r="E921" t="str">
            <v>Silver</v>
          </cell>
          <cell r="F921" t="str">
            <v>Silver Kiosk</v>
          </cell>
          <cell r="G921" t="str">
            <v>Core</v>
          </cell>
          <cell r="H921" t="str">
            <v>SG_03_01 Sun Glass Hut_Silver_OWNED</v>
          </cell>
          <cell r="I921" t="str">
            <v>0000004476 Laurel Park Place</v>
          </cell>
          <cell r="J921" t="str">
            <v>Silver Kiosk</v>
          </cell>
          <cell r="K921">
            <v>0</v>
          </cell>
        </row>
        <row r="922">
          <cell r="C922">
            <v>4482</v>
          </cell>
          <cell r="D922" t="str">
            <v>Core</v>
          </cell>
          <cell r="E922" t="str">
            <v>Silver</v>
          </cell>
          <cell r="F922" t="str">
            <v>Silver Kiosk</v>
          </cell>
          <cell r="G922" t="str">
            <v>Core</v>
          </cell>
          <cell r="H922" t="str">
            <v>SG_03_01 Sun Glass Hut_Silver_OWNED</v>
          </cell>
          <cell r="I922" t="str">
            <v>0000004482 Laurier Quebec</v>
          </cell>
          <cell r="J922" t="str">
            <v>Silver Kiosk</v>
          </cell>
          <cell r="K922">
            <v>0</v>
          </cell>
        </row>
        <row r="923">
          <cell r="C923">
            <v>4483</v>
          </cell>
          <cell r="D923" t="str">
            <v>Core</v>
          </cell>
          <cell r="E923" t="str">
            <v>Silver</v>
          </cell>
          <cell r="F923" t="str">
            <v>Silver Inline</v>
          </cell>
          <cell r="G923" t="str">
            <v>Core</v>
          </cell>
          <cell r="H923" t="str">
            <v>SG_03_01 Sun Glass Hut_Silver_OWNED</v>
          </cell>
          <cell r="I923" t="str">
            <v>0000004483 Altamonte Mall</v>
          </cell>
          <cell r="J923" t="str">
            <v>Silver Inline</v>
          </cell>
          <cell r="K923">
            <v>0</v>
          </cell>
        </row>
        <row r="924">
          <cell r="C924">
            <v>4485</v>
          </cell>
          <cell r="D924" t="str">
            <v>Core</v>
          </cell>
          <cell r="E924" t="str">
            <v>Silver</v>
          </cell>
          <cell r="F924" t="str">
            <v>Silver Inline</v>
          </cell>
          <cell r="G924" t="str">
            <v>Core</v>
          </cell>
          <cell r="H924" t="str">
            <v>SG_03_01 Sun Glass Hut_Silver_OWNED</v>
          </cell>
          <cell r="I924" t="str">
            <v>0000004485 The Shoppes at Buckland Hills</v>
          </cell>
          <cell r="J924" t="str">
            <v>Silver Inline</v>
          </cell>
          <cell r="K924">
            <v>0</v>
          </cell>
        </row>
        <row r="925">
          <cell r="C925">
            <v>4487</v>
          </cell>
          <cell r="D925" t="str">
            <v>Core</v>
          </cell>
          <cell r="E925" t="str">
            <v>Silver</v>
          </cell>
          <cell r="F925" t="str">
            <v>Silver Kiosk</v>
          </cell>
          <cell r="G925" t="str">
            <v>Core</v>
          </cell>
          <cell r="H925" t="str">
            <v>SG_03_01 Sun Glass Hut_Silver_OWNED</v>
          </cell>
          <cell r="I925" t="str">
            <v>0000004487 Les Galeries de la Capitale</v>
          </cell>
          <cell r="J925" t="str">
            <v>Silver Kiosk</v>
          </cell>
          <cell r="K925">
            <v>0</v>
          </cell>
        </row>
        <row r="926">
          <cell r="C926">
            <v>4492</v>
          </cell>
          <cell r="D926" t="str">
            <v>Core</v>
          </cell>
          <cell r="E926" t="str">
            <v>Silver</v>
          </cell>
          <cell r="F926" t="str">
            <v>Silver Kiosk</v>
          </cell>
          <cell r="G926" t="str">
            <v>Core</v>
          </cell>
          <cell r="H926" t="str">
            <v>SG_03_01 Sun Glass Hut_Silver_OWNED</v>
          </cell>
          <cell r="I926" t="str">
            <v>0000004492 Place d'Orleans</v>
          </cell>
          <cell r="J926" t="str">
            <v>Silver Kiosk</v>
          </cell>
          <cell r="K926">
            <v>0</v>
          </cell>
        </row>
        <row r="927">
          <cell r="C927">
            <v>4500</v>
          </cell>
          <cell r="D927" t="str">
            <v>Core</v>
          </cell>
          <cell r="E927" t="str">
            <v>Silver</v>
          </cell>
          <cell r="F927" t="str">
            <v>Silver Inline</v>
          </cell>
          <cell r="G927" t="str">
            <v>Core</v>
          </cell>
          <cell r="H927" t="str">
            <v>SG_03_01 Sun Glass Hut_Silver_OWNED</v>
          </cell>
          <cell r="I927" t="str">
            <v>0000004500 Santa Rosa Mall</v>
          </cell>
          <cell r="J927" t="str">
            <v>Silver Inline</v>
          </cell>
          <cell r="K927">
            <v>0</v>
          </cell>
        </row>
        <row r="928">
          <cell r="C928">
            <v>4501</v>
          </cell>
          <cell r="D928" t="str">
            <v>Core</v>
          </cell>
          <cell r="E928" t="str">
            <v>Silver</v>
          </cell>
          <cell r="F928" t="str">
            <v>Silver Inline</v>
          </cell>
          <cell r="G928" t="str">
            <v>Core</v>
          </cell>
          <cell r="H928" t="str">
            <v>SG_03_01 Sun Glass Hut_Silver_OWNED</v>
          </cell>
          <cell r="I928" t="str">
            <v>0000004501 Orlando Fashion Square</v>
          </cell>
          <cell r="J928" t="str">
            <v>Silver Inline</v>
          </cell>
          <cell r="K928">
            <v>0</v>
          </cell>
        </row>
        <row r="929">
          <cell r="C929">
            <v>4505</v>
          </cell>
          <cell r="D929" t="str">
            <v>Core</v>
          </cell>
          <cell r="E929" t="str">
            <v>Silver</v>
          </cell>
          <cell r="F929" t="str">
            <v>Silver Kiosk</v>
          </cell>
          <cell r="G929" t="str">
            <v>Core</v>
          </cell>
          <cell r="H929" t="str">
            <v>SG_03_01 Sun Glass Hut_Silver_OWNED</v>
          </cell>
          <cell r="I929" t="str">
            <v>0000004505 Peachtree Mall</v>
          </cell>
          <cell r="J929" t="str">
            <v>Silver Kiosk</v>
          </cell>
          <cell r="K929">
            <v>0</v>
          </cell>
        </row>
        <row r="930">
          <cell r="C930">
            <v>4507</v>
          </cell>
          <cell r="D930" t="str">
            <v>Core</v>
          </cell>
          <cell r="E930" t="str">
            <v>Silver</v>
          </cell>
          <cell r="F930" t="str">
            <v>Silver Inline</v>
          </cell>
          <cell r="G930" t="str">
            <v>Core</v>
          </cell>
          <cell r="H930" t="str">
            <v>SG_03_01 Sun Glass Hut_Silver_OWNED</v>
          </cell>
          <cell r="I930" t="str">
            <v>0000004507 Hanes Mall</v>
          </cell>
          <cell r="J930" t="str">
            <v>Silver Inline</v>
          </cell>
          <cell r="K930">
            <v>0</v>
          </cell>
        </row>
        <row r="931">
          <cell r="C931">
            <v>4508</v>
          </cell>
          <cell r="D931" t="str">
            <v>Core</v>
          </cell>
          <cell r="E931" t="str">
            <v>Silver</v>
          </cell>
          <cell r="F931" t="str">
            <v>Silver Inline</v>
          </cell>
          <cell r="G931" t="str">
            <v>Core</v>
          </cell>
          <cell r="H931" t="str">
            <v>SG_03_01 Sun Glass Hut_Silver_OWNED</v>
          </cell>
          <cell r="I931" t="str">
            <v>0000004508 Hanes Mall</v>
          </cell>
          <cell r="J931" t="str">
            <v>Silver Inline</v>
          </cell>
          <cell r="K931">
            <v>0</v>
          </cell>
        </row>
        <row r="932">
          <cell r="C932">
            <v>4509</v>
          </cell>
          <cell r="D932" t="str">
            <v>Core</v>
          </cell>
          <cell r="E932" t="str">
            <v>Silver</v>
          </cell>
          <cell r="F932" t="str">
            <v>Silver Kiosk</v>
          </cell>
          <cell r="G932" t="str">
            <v>Core</v>
          </cell>
          <cell r="H932" t="str">
            <v>SG_03_01 Sun Glass Hut_Silver_OWNED</v>
          </cell>
          <cell r="I932" t="str">
            <v>0000004509 University Mall</v>
          </cell>
          <cell r="J932" t="str">
            <v>Silver Kiosk</v>
          </cell>
          <cell r="K932">
            <v>0</v>
          </cell>
        </row>
        <row r="933">
          <cell r="C933">
            <v>4516</v>
          </cell>
          <cell r="D933" t="str">
            <v>Core</v>
          </cell>
          <cell r="E933" t="str">
            <v>Silver</v>
          </cell>
          <cell r="F933" t="str">
            <v>Silver Kiosk</v>
          </cell>
          <cell r="G933" t="str">
            <v>Core</v>
          </cell>
          <cell r="H933" t="str">
            <v>SG_03_01 Sun Glass Hut_Silver_OWNED</v>
          </cell>
          <cell r="I933" t="str">
            <v>0000004516 St Charles Towne Center</v>
          </cell>
          <cell r="J933" t="str">
            <v>Silver Kiosk</v>
          </cell>
          <cell r="K933">
            <v>0</v>
          </cell>
        </row>
        <row r="934">
          <cell r="C934">
            <v>4518</v>
          </cell>
          <cell r="D934" t="str">
            <v>Core</v>
          </cell>
          <cell r="E934" t="str">
            <v>Silver</v>
          </cell>
          <cell r="F934" t="str">
            <v>Silver Kiosk</v>
          </cell>
          <cell r="G934" t="str">
            <v>Core</v>
          </cell>
          <cell r="H934" t="str">
            <v>SG_03_01 Sun Glass Hut_Silver_OWNED</v>
          </cell>
          <cell r="I934" t="str">
            <v>0000004518 Broadway Square</v>
          </cell>
          <cell r="J934" t="str">
            <v>Silver Kiosk</v>
          </cell>
          <cell r="K934">
            <v>0</v>
          </cell>
        </row>
        <row r="935">
          <cell r="C935">
            <v>4519</v>
          </cell>
          <cell r="D935" t="str">
            <v>Core</v>
          </cell>
          <cell r="E935" t="str">
            <v>Silver</v>
          </cell>
          <cell r="F935" t="str">
            <v>Silver Inline</v>
          </cell>
          <cell r="G935" t="str">
            <v>Core</v>
          </cell>
          <cell r="H935" t="str">
            <v>SG_03_01 Sun Glass Hut_Silver_OWNED</v>
          </cell>
          <cell r="I935" t="str">
            <v>0000004519 Northpark Mall</v>
          </cell>
          <cell r="J935" t="str">
            <v>Silver Inline</v>
          </cell>
          <cell r="K935">
            <v>0</v>
          </cell>
        </row>
        <row r="936">
          <cell r="C936">
            <v>4520</v>
          </cell>
          <cell r="D936" t="str">
            <v>Core</v>
          </cell>
          <cell r="E936" t="str">
            <v>Silver</v>
          </cell>
          <cell r="F936" t="str">
            <v>Silver Kiosk</v>
          </cell>
          <cell r="G936" t="str">
            <v>Core</v>
          </cell>
          <cell r="H936" t="str">
            <v>SG_03_01 Sun Glass Hut_Silver_OWNED</v>
          </cell>
          <cell r="I936" t="str">
            <v>0000004520 Burnsville Center</v>
          </cell>
          <cell r="J936" t="str">
            <v>Silver Kiosk</v>
          </cell>
          <cell r="K936">
            <v>0</v>
          </cell>
        </row>
        <row r="937">
          <cell r="C937">
            <v>4524</v>
          </cell>
          <cell r="D937" t="str">
            <v>Core</v>
          </cell>
          <cell r="E937" t="str">
            <v>Silver</v>
          </cell>
          <cell r="F937" t="str">
            <v>Silver Inline</v>
          </cell>
          <cell r="G937" t="str">
            <v>Core</v>
          </cell>
          <cell r="H937" t="str">
            <v>SG_03_01 Sun Glass Hut_Silver_OWNED</v>
          </cell>
          <cell r="I937" t="str">
            <v>0000004524 Moorestown Mall</v>
          </cell>
          <cell r="J937" t="str">
            <v>Silver Inline</v>
          </cell>
          <cell r="K937">
            <v>0</v>
          </cell>
        </row>
        <row r="938">
          <cell r="C938">
            <v>4526</v>
          </cell>
          <cell r="D938" t="str">
            <v>Core</v>
          </cell>
          <cell r="E938" t="str">
            <v>Silver</v>
          </cell>
          <cell r="F938" t="str">
            <v>Silver Kiosk</v>
          </cell>
          <cell r="G938" t="str">
            <v>Core</v>
          </cell>
          <cell r="H938" t="str">
            <v>SG_03_01 Sun Glass Hut_Silver_OWNED</v>
          </cell>
          <cell r="I938" t="str">
            <v>0000004526 Northpark Mall</v>
          </cell>
          <cell r="J938" t="str">
            <v>Silver Kiosk</v>
          </cell>
          <cell r="K938">
            <v>0</v>
          </cell>
        </row>
        <row r="939">
          <cell r="C939">
            <v>4528</v>
          </cell>
          <cell r="D939" t="str">
            <v>Core</v>
          </cell>
          <cell r="E939" t="str">
            <v>Silver</v>
          </cell>
          <cell r="F939" t="str">
            <v>Silver Kiosk</v>
          </cell>
          <cell r="G939" t="str">
            <v>Core</v>
          </cell>
          <cell r="H939" t="str">
            <v>SG_03_01 Sun Glass Hut_Silver_OWNED</v>
          </cell>
          <cell r="I939" t="str">
            <v>0000004528 Dover Mall</v>
          </cell>
          <cell r="J939" t="str">
            <v>Silver Kiosk</v>
          </cell>
          <cell r="K939">
            <v>0</v>
          </cell>
        </row>
        <row r="940">
          <cell r="C940">
            <v>4536</v>
          </cell>
          <cell r="D940" t="str">
            <v>Core</v>
          </cell>
          <cell r="E940" t="str">
            <v>Silver</v>
          </cell>
          <cell r="F940" t="str">
            <v>Silver Kiosk</v>
          </cell>
          <cell r="G940" t="str">
            <v>Core</v>
          </cell>
          <cell r="H940" t="str">
            <v>SG_03_01 Sun Glass Hut_Silver_OWNED</v>
          </cell>
          <cell r="I940" t="str">
            <v>0000004536 Moreno Valley Mall</v>
          </cell>
          <cell r="J940" t="str">
            <v>Silver Kiosk</v>
          </cell>
          <cell r="K940">
            <v>0</v>
          </cell>
        </row>
        <row r="941">
          <cell r="C941">
            <v>4545</v>
          </cell>
          <cell r="D941" t="str">
            <v>Core</v>
          </cell>
          <cell r="E941" t="str">
            <v>Silver</v>
          </cell>
          <cell r="F941" t="str">
            <v>Silver Inline</v>
          </cell>
          <cell r="G941" t="str">
            <v>Core</v>
          </cell>
          <cell r="H941" t="str">
            <v>SG_03_01 Sun Glass Hut_Silver_OWNED</v>
          </cell>
          <cell r="I941" t="str">
            <v>0000004545 Oak Court Mall</v>
          </cell>
          <cell r="J941" t="str">
            <v>Silver Inline</v>
          </cell>
          <cell r="K941">
            <v>0</v>
          </cell>
        </row>
        <row r="942">
          <cell r="C942">
            <v>4551</v>
          </cell>
          <cell r="D942" t="str">
            <v>Core</v>
          </cell>
          <cell r="E942" t="str">
            <v>Silver</v>
          </cell>
          <cell r="F942" t="str">
            <v>Silver Inline</v>
          </cell>
          <cell r="G942" t="str">
            <v>Core</v>
          </cell>
          <cell r="H942" t="str">
            <v>SG_03_01 Sun Glass Hut_Silver_OWNED</v>
          </cell>
          <cell r="I942" t="str">
            <v>0000004551 Southgate Mall</v>
          </cell>
          <cell r="J942" t="str">
            <v>Silver Inline</v>
          </cell>
          <cell r="K942">
            <v>0</v>
          </cell>
        </row>
        <row r="943">
          <cell r="C943">
            <v>4554</v>
          </cell>
          <cell r="D943" t="str">
            <v>Core</v>
          </cell>
          <cell r="E943" t="str">
            <v>Silver</v>
          </cell>
          <cell r="F943" t="str">
            <v>Silver Inline</v>
          </cell>
          <cell r="G943" t="str">
            <v>Core</v>
          </cell>
          <cell r="H943" t="str">
            <v>SG_03_01 Sun Glass Hut_Silver_OWNED</v>
          </cell>
          <cell r="I943" t="str">
            <v>0000004554 Collin Creek Mall</v>
          </cell>
          <cell r="J943" t="str">
            <v>Silver Inline</v>
          </cell>
          <cell r="K943">
            <v>0</v>
          </cell>
        </row>
        <row r="944">
          <cell r="C944">
            <v>4561</v>
          </cell>
          <cell r="D944" t="str">
            <v>Core</v>
          </cell>
          <cell r="E944" t="str">
            <v>Silver</v>
          </cell>
          <cell r="F944" t="str">
            <v>Silver Kiosk</v>
          </cell>
          <cell r="G944" t="str">
            <v>Core</v>
          </cell>
          <cell r="H944" t="str">
            <v>SG_03_01 Sun Glass Hut_Silver_OWNED</v>
          </cell>
          <cell r="I944" t="str">
            <v>0000004561 North East Mall</v>
          </cell>
          <cell r="J944" t="str">
            <v>Silver Kiosk</v>
          </cell>
          <cell r="K944">
            <v>0</v>
          </cell>
        </row>
        <row r="945">
          <cell r="C945">
            <v>4566</v>
          </cell>
          <cell r="D945" t="str">
            <v>Core</v>
          </cell>
          <cell r="E945" t="str">
            <v>Silver</v>
          </cell>
          <cell r="F945" t="str">
            <v>Silver Inline</v>
          </cell>
          <cell r="G945" t="str">
            <v>Core</v>
          </cell>
          <cell r="H945" t="str">
            <v>SG_03_01 Sun Glass Hut_Silver_OWNED</v>
          </cell>
          <cell r="I945" t="str">
            <v>0000004566 Ingram Park Mall</v>
          </cell>
          <cell r="J945" t="str">
            <v>Silver Inline</v>
          </cell>
          <cell r="K945">
            <v>0</v>
          </cell>
        </row>
        <row r="946">
          <cell r="C946">
            <v>4571</v>
          </cell>
          <cell r="D946" t="str">
            <v>Core</v>
          </cell>
          <cell r="E946" t="str">
            <v>Silver</v>
          </cell>
          <cell r="F946" t="str">
            <v>Silver Inline</v>
          </cell>
          <cell r="G946" t="str">
            <v>Core</v>
          </cell>
          <cell r="H946" t="str">
            <v>SG_03_01 Sun Glass Hut_Silver_OWNED</v>
          </cell>
          <cell r="I946" t="str">
            <v>0000004571 Sarasota Square</v>
          </cell>
          <cell r="J946" t="str">
            <v>Silver Inline</v>
          </cell>
          <cell r="K946">
            <v>0</v>
          </cell>
        </row>
        <row r="947">
          <cell r="C947">
            <v>4574</v>
          </cell>
          <cell r="D947" t="str">
            <v>Core</v>
          </cell>
          <cell r="E947" t="str">
            <v>Silver</v>
          </cell>
          <cell r="F947" t="str">
            <v>Silver Kiosk</v>
          </cell>
          <cell r="G947" t="str">
            <v>Core</v>
          </cell>
          <cell r="H947" t="str">
            <v>SG_03_01 Sun Glass Hut_Silver_OWNED</v>
          </cell>
          <cell r="I947" t="str">
            <v>0000004574 Sikes Senter Mall</v>
          </cell>
          <cell r="J947" t="str">
            <v>Silver Kiosk</v>
          </cell>
          <cell r="K947">
            <v>0</v>
          </cell>
        </row>
        <row r="948">
          <cell r="C948">
            <v>4575</v>
          </cell>
          <cell r="D948" t="str">
            <v>Core</v>
          </cell>
          <cell r="E948" t="str">
            <v>Silver</v>
          </cell>
          <cell r="F948" t="str">
            <v>Silver Inline</v>
          </cell>
          <cell r="G948" t="str">
            <v>Core</v>
          </cell>
          <cell r="H948" t="str">
            <v>SG_03_01 Sun Glass Hut_Silver_OWNED</v>
          </cell>
          <cell r="I948" t="str">
            <v>0000004575 Town Center At Aurora</v>
          </cell>
          <cell r="J948" t="str">
            <v>Silver Inline</v>
          </cell>
          <cell r="K948">
            <v>0</v>
          </cell>
        </row>
        <row r="949">
          <cell r="C949">
            <v>4581</v>
          </cell>
          <cell r="D949" t="str">
            <v>Core</v>
          </cell>
          <cell r="E949" t="str">
            <v>Silver</v>
          </cell>
          <cell r="F949" t="str">
            <v>Silver Inline</v>
          </cell>
          <cell r="G949" t="str">
            <v>Core</v>
          </cell>
          <cell r="H949" t="str">
            <v>SG_03_01 Sun Glass Hut_Silver_OWNED</v>
          </cell>
          <cell r="I949" t="str">
            <v>0000004581 Midland Park Mall</v>
          </cell>
          <cell r="J949" t="str">
            <v>Silver Inline</v>
          </cell>
          <cell r="K949" t="str">
            <v>Top Tier</v>
          </cell>
        </row>
        <row r="950">
          <cell r="C950">
            <v>4585</v>
          </cell>
          <cell r="D950" t="str">
            <v>Core</v>
          </cell>
          <cell r="E950" t="str">
            <v>Silver</v>
          </cell>
          <cell r="F950" t="str">
            <v>Silver Inline</v>
          </cell>
          <cell r="G950" t="str">
            <v>Core</v>
          </cell>
          <cell r="H950" t="str">
            <v>SG_03_01 Sun Glass Hut_Silver_OWNED</v>
          </cell>
          <cell r="I950" t="str">
            <v>0000004585 Post Oak Mall</v>
          </cell>
          <cell r="J950" t="str">
            <v>Silver Inline</v>
          </cell>
          <cell r="K950">
            <v>0</v>
          </cell>
        </row>
        <row r="951">
          <cell r="C951">
            <v>4592</v>
          </cell>
          <cell r="D951" t="str">
            <v>Core</v>
          </cell>
          <cell r="E951" t="str">
            <v>Silver</v>
          </cell>
          <cell r="F951" t="str">
            <v>Silver Inline</v>
          </cell>
          <cell r="G951" t="str">
            <v>Core</v>
          </cell>
          <cell r="H951" t="str">
            <v>SG_03_01 Sun Glass Hut_Silver_OWNED</v>
          </cell>
          <cell r="I951" t="str">
            <v>0000004592 Duval St</v>
          </cell>
          <cell r="J951" t="str">
            <v>Silver Inline</v>
          </cell>
          <cell r="K951">
            <v>0</v>
          </cell>
        </row>
        <row r="952">
          <cell r="C952">
            <v>4601</v>
          </cell>
          <cell r="D952" t="str">
            <v>Core</v>
          </cell>
          <cell r="E952" t="str">
            <v>Silver</v>
          </cell>
          <cell r="F952" t="str">
            <v>Silver Inline</v>
          </cell>
          <cell r="G952" t="str">
            <v>Core</v>
          </cell>
          <cell r="H952" t="str">
            <v>SG_03_01 Sun Glass Hut_Silver_OWNED</v>
          </cell>
          <cell r="I952" t="str">
            <v>0000004601 The Shops at Jax Brewery</v>
          </cell>
          <cell r="J952" t="str">
            <v>Silver Inline</v>
          </cell>
          <cell r="K952">
            <v>0</v>
          </cell>
        </row>
        <row r="953">
          <cell r="C953">
            <v>4606</v>
          </cell>
          <cell r="D953" t="str">
            <v>Core</v>
          </cell>
          <cell r="E953" t="str">
            <v>Silver</v>
          </cell>
          <cell r="F953" t="str">
            <v>Silver Kiosk</v>
          </cell>
          <cell r="G953" t="str">
            <v>Core</v>
          </cell>
          <cell r="H953" t="str">
            <v>SG_03_01 Sun Glass Hut_Silver_OWNED</v>
          </cell>
          <cell r="I953" t="str">
            <v>0000004606 River Park Square</v>
          </cell>
          <cell r="J953" t="str">
            <v>Silver Kiosk</v>
          </cell>
          <cell r="K953">
            <v>0</v>
          </cell>
        </row>
        <row r="954">
          <cell r="C954">
            <v>4608</v>
          </cell>
          <cell r="D954" t="str">
            <v>Core</v>
          </cell>
          <cell r="E954" t="str">
            <v>Silver</v>
          </cell>
          <cell r="F954" t="str">
            <v>Silver Inline</v>
          </cell>
          <cell r="G954" t="str">
            <v>Core</v>
          </cell>
          <cell r="H954" t="str">
            <v>SG_03_01 Sun Glass Hut_Silver_OWNED</v>
          </cell>
          <cell r="I954" t="str">
            <v>0000004608 Rockaway Townsquare</v>
          </cell>
          <cell r="J954" t="str">
            <v>Silver Inline</v>
          </cell>
          <cell r="K954">
            <v>0</v>
          </cell>
        </row>
        <row r="955">
          <cell r="C955">
            <v>4610</v>
          </cell>
          <cell r="D955" t="str">
            <v>Core</v>
          </cell>
          <cell r="E955" t="str">
            <v>Silver</v>
          </cell>
          <cell r="F955" t="str">
            <v>Silver Inline</v>
          </cell>
          <cell r="G955" t="str">
            <v>Core</v>
          </cell>
          <cell r="H955" t="str">
            <v>SG_03_01 Sun Glass Hut_Silver_OWNED</v>
          </cell>
          <cell r="I955" t="str">
            <v>0000004610 Flagstaff Mall</v>
          </cell>
          <cell r="J955" t="str">
            <v>Silver Inline</v>
          </cell>
          <cell r="K955">
            <v>0</v>
          </cell>
        </row>
        <row r="956">
          <cell r="C956">
            <v>4620</v>
          </cell>
          <cell r="D956" t="str">
            <v>Core</v>
          </cell>
          <cell r="E956" t="str">
            <v>Silver</v>
          </cell>
          <cell r="F956" t="str">
            <v>Silver Inline</v>
          </cell>
          <cell r="G956" t="str">
            <v>Core</v>
          </cell>
          <cell r="H956" t="str">
            <v>SG_03_01 Sun Glass Hut_Silver_OWNED</v>
          </cell>
          <cell r="I956" t="str">
            <v>0000004620 Cape Cod Mall</v>
          </cell>
          <cell r="J956" t="str">
            <v>Silver Inline</v>
          </cell>
          <cell r="K956">
            <v>0</v>
          </cell>
        </row>
        <row r="957">
          <cell r="C957">
            <v>4638</v>
          </cell>
          <cell r="D957" t="str">
            <v>Core</v>
          </cell>
          <cell r="E957" t="str">
            <v>Silver</v>
          </cell>
          <cell r="F957" t="str">
            <v>Silver Kiosk</v>
          </cell>
          <cell r="G957" t="str">
            <v>Core</v>
          </cell>
          <cell r="H957" t="str">
            <v>SG_03_01 Sun Glass Hut_Silver_OWNED</v>
          </cell>
          <cell r="I957" t="str">
            <v>0000004638 Yuba Sutter Mall</v>
          </cell>
          <cell r="J957" t="str">
            <v>Silver Kiosk</v>
          </cell>
          <cell r="K957">
            <v>0</v>
          </cell>
        </row>
        <row r="958">
          <cell r="C958">
            <v>4644</v>
          </cell>
          <cell r="D958" t="str">
            <v>Core</v>
          </cell>
          <cell r="E958" t="str">
            <v>Silver</v>
          </cell>
          <cell r="F958" t="str">
            <v>Silver Kiosk</v>
          </cell>
          <cell r="G958" t="str">
            <v>Core</v>
          </cell>
          <cell r="H958" t="str">
            <v>SG_03_01 Sun Glass Hut_Silver_OWNED</v>
          </cell>
          <cell r="I958" t="str">
            <v>0000004644 Champlain Centre</v>
          </cell>
          <cell r="J958" t="str">
            <v>Silver Kiosk</v>
          </cell>
          <cell r="K958">
            <v>0</v>
          </cell>
        </row>
        <row r="959">
          <cell r="C959">
            <v>4647</v>
          </cell>
          <cell r="D959" t="str">
            <v>Core</v>
          </cell>
          <cell r="E959" t="str">
            <v>Silver</v>
          </cell>
          <cell r="F959" t="str">
            <v>Silver Kiosk</v>
          </cell>
          <cell r="G959" t="str">
            <v>Core</v>
          </cell>
          <cell r="H959" t="str">
            <v>SG_03_01 Sun Glass Hut_Silver_OWNED</v>
          </cell>
          <cell r="I959" t="str">
            <v>0000004647 Kahala Mall</v>
          </cell>
          <cell r="J959" t="str">
            <v>Silver Kiosk</v>
          </cell>
          <cell r="K959">
            <v>0</v>
          </cell>
        </row>
        <row r="960">
          <cell r="C960">
            <v>4651</v>
          </cell>
          <cell r="D960" t="str">
            <v>Core</v>
          </cell>
          <cell r="E960" t="str">
            <v>Silver</v>
          </cell>
          <cell r="F960" t="str">
            <v>Silver Inline</v>
          </cell>
          <cell r="G960" t="str">
            <v>Core</v>
          </cell>
          <cell r="H960" t="str">
            <v>SG_03_01 Sun Glass Hut_Silver_OWNED</v>
          </cell>
          <cell r="I960" t="str">
            <v>0000004651 Capitola Mall</v>
          </cell>
          <cell r="J960" t="str">
            <v>Silver Inline</v>
          </cell>
          <cell r="K960">
            <v>0</v>
          </cell>
        </row>
        <row r="961">
          <cell r="C961">
            <v>4653</v>
          </cell>
          <cell r="D961" t="str">
            <v>Core</v>
          </cell>
          <cell r="E961" t="str">
            <v>Silver</v>
          </cell>
          <cell r="F961" t="str">
            <v>Silver Inline</v>
          </cell>
          <cell r="G961" t="str">
            <v>Core</v>
          </cell>
          <cell r="H961" t="str">
            <v>SG_03_01 Sun Glass Hut_Silver_OWNED</v>
          </cell>
          <cell r="I961" t="str">
            <v>0000004653 Merced Mall</v>
          </cell>
          <cell r="J961" t="str">
            <v>Silver Inline</v>
          </cell>
          <cell r="K961">
            <v>0</v>
          </cell>
        </row>
        <row r="962">
          <cell r="C962">
            <v>4655</v>
          </cell>
          <cell r="D962" t="str">
            <v>Core</v>
          </cell>
          <cell r="E962" t="str">
            <v>Silver</v>
          </cell>
          <cell r="F962" t="str">
            <v>Silver Kiosk</v>
          </cell>
          <cell r="G962" t="str">
            <v>Core</v>
          </cell>
          <cell r="H962" t="str">
            <v>SG_03_01 Sun Glass Hut_Silver_OWNED</v>
          </cell>
          <cell r="I962" t="str">
            <v>0000004655 Huntington Mall</v>
          </cell>
          <cell r="J962" t="str">
            <v>Silver Kiosk</v>
          </cell>
          <cell r="K962">
            <v>0</v>
          </cell>
        </row>
        <row r="963">
          <cell r="C963">
            <v>4656</v>
          </cell>
          <cell r="D963" t="str">
            <v>Core</v>
          </cell>
          <cell r="E963" t="str">
            <v>Silver</v>
          </cell>
          <cell r="F963" t="str">
            <v>Silver Kiosk</v>
          </cell>
          <cell r="G963" t="str">
            <v>Core</v>
          </cell>
          <cell r="H963" t="str">
            <v>SG_03_01 Sun Glass Hut_Silver_OWNED</v>
          </cell>
          <cell r="I963" t="str">
            <v>0000004656 University Mall</v>
          </cell>
          <cell r="J963" t="str">
            <v>Silver Kiosk</v>
          </cell>
          <cell r="K963">
            <v>0</v>
          </cell>
        </row>
        <row r="964">
          <cell r="C964">
            <v>4658</v>
          </cell>
          <cell r="D964" t="str">
            <v>Core</v>
          </cell>
          <cell r="E964" t="str">
            <v>Silver</v>
          </cell>
          <cell r="F964" t="str">
            <v>Silver Kiosk</v>
          </cell>
          <cell r="G964" t="str">
            <v>Core</v>
          </cell>
          <cell r="H964" t="str">
            <v>SG_03_01 Sun Glass Hut_Silver_OWNED</v>
          </cell>
          <cell r="I964" t="str">
            <v>0000004658 Gateway Mall</v>
          </cell>
          <cell r="J964" t="str">
            <v>Silver Kiosk</v>
          </cell>
          <cell r="K964">
            <v>0</v>
          </cell>
        </row>
        <row r="965">
          <cell r="C965">
            <v>4662</v>
          </cell>
          <cell r="D965" t="str">
            <v>Core</v>
          </cell>
          <cell r="E965" t="str">
            <v>Silver</v>
          </cell>
          <cell r="F965" t="str">
            <v>Silver Inline</v>
          </cell>
          <cell r="G965" t="str">
            <v>Core</v>
          </cell>
          <cell r="H965" t="str">
            <v>SG_03_01 Sun Glass Hut_Silver_OWNED</v>
          </cell>
          <cell r="I965" t="str">
            <v>0000004662 Coquitlam Centre</v>
          </cell>
          <cell r="J965" t="str">
            <v>Silver Inline</v>
          </cell>
          <cell r="K965">
            <v>0</v>
          </cell>
        </row>
        <row r="966">
          <cell r="C966">
            <v>4669</v>
          </cell>
          <cell r="D966" t="str">
            <v>Core</v>
          </cell>
          <cell r="E966" t="str">
            <v>Silver</v>
          </cell>
          <cell r="F966" t="str">
            <v>Silver Inline</v>
          </cell>
          <cell r="G966" t="str">
            <v>Core</v>
          </cell>
          <cell r="H966" t="str">
            <v>SG_03_01 Sun Glass Hut_Silver_OWNED</v>
          </cell>
          <cell r="I966" t="str">
            <v>0000004669 Eastview Mall</v>
          </cell>
          <cell r="J966" t="str">
            <v>Silver Inline</v>
          </cell>
          <cell r="K966">
            <v>0</v>
          </cell>
        </row>
        <row r="967">
          <cell r="C967">
            <v>4672</v>
          </cell>
          <cell r="D967" t="str">
            <v>Core</v>
          </cell>
          <cell r="E967" t="str">
            <v>Silver</v>
          </cell>
          <cell r="F967" t="str">
            <v>Silver Inline</v>
          </cell>
          <cell r="G967" t="str">
            <v>Core</v>
          </cell>
          <cell r="H967" t="str">
            <v>SG_03_01 Sun Glass Hut_Silver_OWNED</v>
          </cell>
          <cell r="I967" t="str">
            <v>0000004672 The Marketplace Mall</v>
          </cell>
          <cell r="J967" t="str">
            <v>Silver Inline</v>
          </cell>
          <cell r="K967">
            <v>0</v>
          </cell>
        </row>
        <row r="968">
          <cell r="C968">
            <v>4674</v>
          </cell>
          <cell r="D968" t="str">
            <v>Core</v>
          </cell>
          <cell r="E968" t="str">
            <v>Silver</v>
          </cell>
          <cell r="F968" t="str">
            <v>Silver Kiosk</v>
          </cell>
          <cell r="G968" t="str">
            <v>Core</v>
          </cell>
          <cell r="H968" t="str">
            <v>SG_03_01 Sun Glass Hut_Silver_OWNED</v>
          </cell>
          <cell r="I968" t="str">
            <v>0000004674 Berkshire Mall</v>
          </cell>
          <cell r="J968" t="str">
            <v>Silver Kiosk</v>
          </cell>
          <cell r="K968">
            <v>0</v>
          </cell>
        </row>
        <row r="969">
          <cell r="C969">
            <v>4684</v>
          </cell>
          <cell r="D969" t="str">
            <v>Core</v>
          </cell>
          <cell r="E969" t="str">
            <v>Silver</v>
          </cell>
          <cell r="F969" t="str">
            <v>Silver Inline</v>
          </cell>
          <cell r="G969" t="str">
            <v>Core</v>
          </cell>
          <cell r="H969" t="str">
            <v>SG_03_01 Sun Glass Hut_Silver_OWNED</v>
          </cell>
          <cell r="I969" t="str">
            <v>0000004684 Gulf View Square</v>
          </cell>
          <cell r="J969" t="str">
            <v>Silver Inline</v>
          </cell>
          <cell r="K969">
            <v>0</v>
          </cell>
        </row>
        <row r="970">
          <cell r="C970">
            <v>4692</v>
          </cell>
          <cell r="D970" t="str">
            <v>Core</v>
          </cell>
          <cell r="E970" t="str">
            <v>Silver</v>
          </cell>
          <cell r="F970" t="str">
            <v>Silver Kiosk</v>
          </cell>
          <cell r="G970" t="str">
            <v>Core</v>
          </cell>
          <cell r="H970" t="str">
            <v>SG_03_01 Sun Glass Hut_Silver_OWNED</v>
          </cell>
          <cell r="I970" t="str">
            <v>0000004692 Neshaminy Mall</v>
          </cell>
          <cell r="J970" t="str">
            <v>Silver Kiosk</v>
          </cell>
          <cell r="K970">
            <v>0</v>
          </cell>
        </row>
        <row r="971">
          <cell r="C971">
            <v>4693</v>
          </cell>
          <cell r="D971" t="str">
            <v>Core</v>
          </cell>
          <cell r="E971" t="str">
            <v>Silver</v>
          </cell>
          <cell r="F971" t="str">
            <v>Silver Inline</v>
          </cell>
          <cell r="G971" t="str">
            <v>Core</v>
          </cell>
          <cell r="H971" t="str">
            <v>SG_03_01 Sun Glass Hut_Silver_OWNED</v>
          </cell>
          <cell r="I971" t="str">
            <v>0000004693 Arboretum at Great Hills</v>
          </cell>
          <cell r="J971" t="str">
            <v>Silver Inline</v>
          </cell>
          <cell r="K971">
            <v>0</v>
          </cell>
        </row>
        <row r="972">
          <cell r="C972">
            <v>4722</v>
          </cell>
          <cell r="D972" t="str">
            <v>Core</v>
          </cell>
          <cell r="E972" t="str">
            <v>Silver</v>
          </cell>
          <cell r="F972" t="str">
            <v>Silver Kiosk</v>
          </cell>
          <cell r="G972" t="str">
            <v>Core</v>
          </cell>
          <cell r="H972" t="str">
            <v>SG_03_01 Sun Glass Hut_Silver_OWNED</v>
          </cell>
          <cell r="I972" t="str">
            <v>0000004722 Broadway Mall</v>
          </cell>
          <cell r="J972" t="str">
            <v>Silver Kiosk</v>
          </cell>
          <cell r="K972">
            <v>0</v>
          </cell>
        </row>
        <row r="973">
          <cell r="C973">
            <v>4737</v>
          </cell>
          <cell r="D973" t="str">
            <v>Core</v>
          </cell>
          <cell r="E973" t="str">
            <v>Silver</v>
          </cell>
          <cell r="F973" t="str">
            <v>Silver Kiosk</v>
          </cell>
          <cell r="G973" t="str">
            <v>Core</v>
          </cell>
          <cell r="H973" t="str">
            <v>SG_03_01 Sun Glass Hut_Silver_OWNED</v>
          </cell>
          <cell r="I973" t="str">
            <v>0000004737 Brookfield Square</v>
          </cell>
          <cell r="J973" t="str">
            <v>Silver Kiosk</v>
          </cell>
          <cell r="K973">
            <v>0</v>
          </cell>
        </row>
        <row r="974">
          <cell r="C974">
            <v>4740</v>
          </cell>
          <cell r="D974" t="str">
            <v>Core</v>
          </cell>
          <cell r="E974" t="str">
            <v>Silver</v>
          </cell>
          <cell r="F974" t="str">
            <v>Silver Kiosk</v>
          </cell>
          <cell r="G974" t="str">
            <v>Core</v>
          </cell>
          <cell r="H974" t="str">
            <v>SG_03_01 Sun Glass Hut_Silver_OWNED</v>
          </cell>
          <cell r="I974" t="str">
            <v>0000004740 Oakdale Mall</v>
          </cell>
          <cell r="J974" t="str">
            <v>Silver Kiosk</v>
          </cell>
          <cell r="K974">
            <v>0</v>
          </cell>
        </row>
        <row r="975">
          <cell r="C975">
            <v>4741</v>
          </cell>
          <cell r="D975" t="str">
            <v>Core</v>
          </cell>
          <cell r="E975" t="str">
            <v>Silver</v>
          </cell>
          <cell r="F975" t="str">
            <v>Silver Kiosk</v>
          </cell>
          <cell r="G975" t="str">
            <v>Core</v>
          </cell>
          <cell r="H975" t="str">
            <v>SG_03_01 Sun Glass Hut_Silver_OWNED</v>
          </cell>
          <cell r="I975" t="str">
            <v>0000004741 Valley Mall</v>
          </cell>
          <cell r="J975" t="str">
            <v>Silver Kiosk</v>
          </cell>
          <cell r="K975">
            <v>0</v>
          </cell>
        </row>
        <row r="976">
          <cell r="C976">
            <v>4753</v>
          </cell>
          <cell r="D976" t="str">
            <v>Core</v>
          </cell>
          <cell r="E976" t="str">
            <v>Silver</v>
          </cell>
          <cell r="F976" t="str">
            <v>Silver Kiosk</v>
          </cell>
          <cell r="G976" t="str">
            <v>Core</v>
          </cell>
          <cell r="H976" t="str">
            <v>SG_03_01 Sun Glass Hut_Silver_OWNED</v>
          </cell>
          <cell r="I976" t="str">
            <v>0000004753 Turtle Creek Mall</v>
          </cell>
          <cell r="J976" t="str">
            <v>Silver Kiosk</v>
          </cell>
          <cell r="K976">
            <v>0</v>
          </cell>
        </row>
        <row r="977">
          <cell r="C977">
            <v>4759</v>
          </cell>
          <cell r="D977" t="str">
            <v>Core</v>
          </cell>
          <cell r="E977" t="str">
            <v>Silver</v>
          </cell>
          <cell r="F977" t="str">
            <v>Silver Kiosk</v>
          </cell>
          <cell r="G977" t="str">
            <v>Core</v>
          </cell>
          <cell r="H977" t="str">
            <v>SG_03_01 Sun Glass Hut_Silver_OWNED</v>
          </cell>
          <cell r="I977" t="str">
            <v>0000004759 Wiregrass Commons</v>
          </cell>
          <cell r="J977" t="str">
            <v>Silver Kiosk</v>
          </cell>
          <cell r="K977">
            <v>0</v>
          </cell>
        </row>
        <row r="978">
          <cell r="C978">
            <v>4764</v>
          </cell>
          <cell r="D978" t="str">
            <v>Core</v>
          </cell>
          <cell r="E978" t="str">
            <v>Silver</v>
          </cell>
          <cell r="F978" t="str">
            <v>Silver Inline</v>
          </cell>
          <cell r="G978" t="str">
            <v>Core</v>
          </cell>
          <cell r="H978" t="str">
            <v>SG_03_01 Sun Glass Hut_Silver_OWNED</v>
          </cell>
          <cell r="I978" t="str">
            <v>0000004764 Fiesta Mall</v>
          </cell>
          <cell r="J978" t="str">
            <v>Silver Inline</v>
          </cell>
          <cell r="K978">
            <v>0</v>
          </cell>
        </row>
        <row r="979">
          <cell r="C979">
            <v>4780</v>
          </cell>
          <cell r="D979" t="str">
            <v>Core</v>
          </cell>
          <cell r="E979" t="str">
            <v>Silver</v>
          </cell>
          <cell r="F979" t="str">
            <v>Silver Inline</v>
          </cell>
          <cell r="G979" t="str">
            <v>Core</v>
          </cell>
          <cell r="H979" t="str">
            <v>SG_03_01 Sun Glass Hut_Silver_OWNED</v>
          </cell>
          <cell r="I979" t="str">
            <v>0000004780 Chico Mall</v>
          </cell>
          <cell r="J979" t="str">
            <v>Silver Inline</v>
          </cell>
          <cell r="K979">
            <v>0</v>
          </cell>
        </row>
        <row r="980">
          <cell r="C980">
            <v>4921</v>
          </cell>
          <cell r="D980" t="str">
            <v>Core</v>
          </cell>
          <cell r="E980" t="str">
            <v>Silver</v>
          </cell>
          <cell r="F980" t="str">
            <v>Silver Inline</v>
          </cell>
          <cell r="G980" t="str">
            <v>Core</v>
          </cell>
          <cell r="H980" t="str">
            <v>SG_03_01 Sun Glass Hut_Silver_OWNED</v>
          </cell>
          <cell r="I980" t="str">
            <v>0000004921 Broadway at the Beach</v>
          </cell>
          <cell r="J980" t="str">
            <v>Silver Inline</v>
          </cell>
          <cell r="K980">
            <v>0</v>
          </cell>
        </row>
        <row r="981">
          <cell r="C981">
            <v>4926</v>
          </cell>
          <cell r="D981" t="str">
            <v>Core</v>
          </cell>
          <cell r="E981" t="str">
            <v>Silver</v>
          </cell>
          <cell r="F981" t="str">
            <v>Silver Kiosk</v>
          </cell>
          <cell r="G981" t="str">
            <v>Core</v>
          </cell>
          <cell r="H981" t="str">
            <v>SG_03_01 Sun Glass Hut_Silver_OWNED</v>
          </cell>
          <cell r="I981" t="str">
            <v>0000004926 Northlake Mall</v>
          </cell>
          <cell r="J981" t="str">
            <v>Silver Kiosk</v>
          </cell>
          <cell r="K981">
            <v>0</v>
          </cell>
        </row>
        <row r="982">
          <cell r="C982">
            <v>4937</v>
          </cell>
          <cell r="D982" t="str">
            <v>Core</v>
          </cell>
          <cell r="E982" t="str">
            <v>Silver</v>
          </cell>
          <cell r="F982" t="str">
            <v>Silver Kiosk</v>
          </cell>
          <cell r="G982" t="str">
            <v>Core</v>
          </cell>
          <cell r="H982" t="str">
            <v>SG_03_01 Sun Glass Hut_Silver_OWNED</v>
          </cell>
          <cell r="I982" t="str">
            <v>0000004937 Horton Plaza</v>
          </cell>
          <cell r="J982" t="str">
            <v>Silver Kiosk</v>
          </cell>
          <cell r="K982">
            <v>0</v>
          </cell>
        </row>
        <row r="983">
          <cell r="C983">
            <v>4939</v>
          </cell>
          <cell r="D983" t="str">
            <v>Core</v>
          </cell>
          <cell r="E983" t="str">
            <v>Silver</v>
          </cell>
          <cell r="F983" t="str">
            <v>Silver Kiosk</v>
          </cell>
          <cell r="G983" t="str">
            <v>Core</v>
          </cell>
          <cell r="H983" t="str">
            <v>SG_03_01 Sun Glass Hut_Silver_OWNED</v>
          </cell>
          <cell r="I983" t="str">
            <v>0000004939 Santa Anita</v>
          </cell>
          <cell r="J983" t="str">
            <v>Silver Kiosk</v>
          </cell>
          <cell r="K983">
            <v>0</v>
          </cell>
        </row>
        <row r="984">
          <cell r="C984">
            <v>4940</v>
          </cell>
          <cell r="D984" t="str">
            <v>Core</v>
          </cell>
          <cell r="E984" t="str">
            <v>Silver</v>
          </cell>
          <cell r="F984" t="str">
            <v>Silver Kiosk</v>
          </cell>
          <cell r="G984" t="str">
            <v>Core</v>
          </cell>
          <cell r="H984" t="str">
            <v>SG_03_01 Sun Glass Hut_Silver_OWNED</v>
          </cell>
          <cell r="I984" t="str">
            <v>0000004940 West County Center</v>
          </cell>
          <cell r="J984" t="str">
            <v>Silver Kiosk</v>
          </cell>
          <cell r="K984">
            <v>0</v>
          </cell>
        </row>
        <row r="985">
          <cell r="C985">
            <v>5027</v>
          </cell>
          <cell r="D985" t="str">
            <v>Core</v>
          </cell>
          <cell r="E985" t="str">
            <v>Silver</v>
          </cell>
          <cell r="F985" t="str">
            <v>Silver Inline</v>
          </cell>
          <cell r="G985" t="str">
            <v>Core</v>
          </cell>
          <cell r="H985" t="str">
            <v>SG_03_01 Sun Glass Hut_Silver_OWNED</v>
          </cell>
          <cell r="I985" t="str">
            <v>0000005027 The Ave Viera</v>
          </cell>
          <cell r="J985" t="str">
            <v>Silver Inline</v>
          </cell>
          <cell r="K985">
            <v>0</v>
          </cell>
        </row>
        <row r="986">
          <cell r="C986">
            <v>5044</v>
          </cell>
          <cell r="D986" t="str">
            <v>Core</v>
          </cell>
          <cell r="E986" t="str">
            <v>Silver</v>
          </cell>
          <cell r="F986" t="str">
            <v>Silver Inline</v>
          </cell>
          <cell r="G986" t="str">
            <v>Core</v>
          </cell>
          <cell r="H986" t="str">
            <v>SG_03_01 Sun Glass Hut_Silver_OWNED</v>
          </cell>
          <cell r="I986" t="str">
            <v>0000005044 The Ave At West Cobb</v>
          </cell>
          <cell r="J986" t="str">
            <v>Silver Inline</v>
          </cell>
          <cell r="K986">
            <v>0</v>
          </cell>
        </row>
        <row r="987">
          <cell r="C987">
            <v>5049</v>
          </cell>
          <cell r="D987" t="str">
            <v>Core</v>
          </cell>
          <cell r="E987" t="str">
            <v>Silver</v>
          </cell>
          <cell r="F987" t="str">
            <v>Silver Inline</v>
          </cell>
          <cell r="G987" t="str">
            <v>Core</v>
          </cell>
          <cell r="H987" t="str">
            <v>SG_03_01 Sun Glass Hut_Silver_OWNED</v>
          </cell>
          <cell r="I987" t="str">
            <v>0000005049 Lakeside Village</v>
          </cell>
          <cell r="J987" t="str">
            <v>Silver Inline</v>
          </cell>
          <cell r="K987">
            <v>0</v>
          </cell>
        </row>
        <row r="988">
          <cell r="C988">
            <v>5054</v>
          </cell>
          <cell r="D988" t="str">
            <v>Core</v>
          </cell>
          <cell r="E988" t="str">
            <v>Silver</v>
          </cell>
          <cell r="F988" t="str">
            <v>Silver Inline</v>
          </cell>
          <cell r="G988" t="str">
            <v>Core</v>
          </cell>
          <cell r="H988" t="str">
            <v>SG_03_01 Sun Glass Hut_Silver_OWNED</v>
          </cell>
          <cell r="I988" t="str">
            <v>0000005054 Branson Landing</v>
          </cell>
          <cell r="J988" t="str">
            <v>Silver Inline</v>
          </cell>
          <cell r="K988">
            <v>0</v>
          </cell>
        </row>
        <row r="989">
          <cell r="C989">
            <v>5057</v>
          </cell>
          <cell r="D989" t="str">
            <v>Core</v>
          </cell>
          <cell r="E989" t="str">
            <v>Silver</v>
          </cell>
          <cell r="F989" t="str">
            <v>Silver Inline</v>
          </cell>
          <cell r="G989" t="str">
            <v>Core</v>
          </cell>
          <cell r="H989" t="str">
            <v>SG_03_01 Sun Glass Hut_Silver_OWNED</v>
          </cell>
          <cell r="I989" t="str">
            <v>0000005057 Wooddbury Lakes</v>
          </cell>
          <cell r="J989" t="str">
            <v>Silver Inline</v>
          </cell>
          <cell r="K989">
            <v>0</v>
          </cell>
        </row>
        <row r="990">
          <cell r="C990">
            <v>5064</v>
          </cell>
          <cell r="D990" t="str">
            <v>Core</v>
          </cell>
          <cell r="E990" t="str">
            <v>Silver</v>
          </cell>
          <cell r="F990" t="str">
            <v>Silver Inline</v>
          </cell>
          <cell r="G990" t="str">
            <v>Core</v>
          </cell>
          <cell r="H990" t="str">
            <v>SG_03_01 Sun Glass Hut_Silver_OWNED</v>
          </cell>
          <cell r="I990" t="str">
            <v>0000005064 Crestview Hills Town Center</v>
          </cell>
          <cell r="J990" t="str">
            <v>Silver Inline</v>
          </cell>
          <cell r="K990">
            <v>0</v>
          </cell>
        </row>
        <row r="991">
          <cell r="C991">
            <v>5073</v>
          </cell>
          <cell r="D991" t="str">
            <v>Core</v>
          </cell>
          <cell r="E991" t="str">
            <v>Silver</v>
          </cell>
          <cell r="F991" t="str">
            <v>Silver Kiosk</v>
          </cell>
          <cell r="G991" t="str">
            <v>Core</v>
          </cell>
          <cell r="H991" t="str">
            <v>SG_03_01 Sun Glass Hut_Silver_OWNED</v>
          </cell>
          <cell r="I991" t="str">
            <v>0000005073 Kildonan Place</v>
          </cell>
          <cell r="J991" t="str">
            <v>Silver Kiosk</v>
          </cell>
          <cell r="K991">
            <v>0</v>
          </cell>
        </row>
        <row r="992">
          <cell r="C992">
            <v>5101</v>
          </cell>
          <cell r="D992" t="str">
            <v>Core</v>
          </cell>
          <cell r="E992" t="str">
            <v>Silver</v>
          </cell>
          <cell r="F992" t="str">
            <v>Silver Inline</v>
          </cell>
          <cell r="G992" t="str">
            <v>Core</v>
          </cell>
          <cell r="H992" t="str">
            <v>SG_03_01 Sun Glass Hut_Silver_OWNED</v>
          </cell>
          <cell r="I992" t="str">
            <v>0000005101 The Mall At Turtle Creek</v>
          </cell>
          <cell r="J992" t="str">
            <v>Silver Inline</v>
          </cell>
          <cell r="K992">
            <v>0</v>
          </cell>
        </row>
        <row r="993">
          <cell r="C993">
            <v>5144</v>
          </cell>
          <cell r="D993" t="str">
            <v>Core</v>
          </cell>
          <cell r="E993" t="str">
            <v>Silver</v>
          </cell>
          <cell r="F993" t="str">
            <v>Silver Inline</v>
          </cell>
          <cell r="G993" t="str">
            <v>Core</v>
          </cell>
          <cell r="H993" t="str">
            <v>SG_03_01 Sun Glass Hut_Silver_OWNED</v>
          </cell>
          <cell r="I993" t="str">
            <v>0000005144 Mission Valley Center</v>
          </cell>
          <cell r="J993" t="str">
            <v>Silver Inline</v>
          </cell>
          <cell r="K993">
            <v>0</v>
          </cell>
        </row>
        <row r="994">
          <cell r="C994">
            <v>5156</v>
          </cell>
          <cell r="D994" t="str">
            <v>Core</v>
          </cell>
          <cell r="E994" t="str">
            <v>Silver</v>
          </cell>
          <cell r="F994" t="str">
            <v>Silver Inline</v>
          </cell>
          <cell r="G994" t="str">
            <v>Core</v>
          </cell>
          <cell r="H994" t="str">
            <v>SG_03_01 Sun Glass Hut_Silver_OWNED</v>
          </cell>
          <cell r="I994" t="str">
            <v>0000005156 Triangle Town Center</v>
          </cell>
          <cell r="J994" t="str">
            <v>Silver Inline</v>
          </cell>
          <cell r="K994">
            <v>0</v>
          </cell>
        </row>
        <row r="995">
          <cell r="C995">
            <v>5167</v>
          </cell>
          <cell r="D995" t="str">
            <v>Core</v>
          </cell>
          <cell r="E995" t="str">
            <v>Silver</v>
          </cell>
          <cell r="F995" t="str">
            <v>Silver Inline</v>
          </cell>
          <cell r="G995" t="str">
            <v>Core</v>
          </cell>
          <cell r="H995" t="str">
            <v>SG_03_01 Sun Glass Hut_Silver_OWNED</v>
          </cell>
          <cell r="I995" t="str">
            <v>0000005167 Pinnacle Hills Promenade</v>
          </cell>
          <cell r="J995" t="str">
            <v>Silver Inline</v>
          </cell>
          <cell r="K995">
            <v>0</v>
          </cell>
        </row>
        <row r="996">
          <cell r="C996">
            <v>5179</v>
          </cell>
          <cell r="D996" t="str">
            <v>Core</v>
          </cell>
          <cell r="E996" t="str">
            <v>Silver</v>
          </cell>
          <cell r="F996" t="str">
            <v>Silver Inline</v>
          </cell>
          <cell r="G996" t="str">
            <v>Core</v>
          </cell>
          <cell r="H996" t="str">
            <v>SG_03_01 Sun Glass Hut_Silver_OWNED</v>
          </cell>
          <cell r="I996" t="str">
            <v>0000005179 Pinnacle At Turkey Creek</v>
          </cell>
          <cell r="J996" t="str">
            <v>Silver Inline</v>
          </cell>
          <cell r="K996">
            <v>0</v>
          </cell>
        </row>
        <row r="997">
          <cell r="C997">
            <v>5189</v>
          </cell>
          <cell r="D997" t="str">
            <v>Core</v>
          </cell>
          <cell r="E997" t="str">
            <v>Silver</v>
          </cell>
          <cell r="F997" t="str">
            <v>Silver Kiosk</v>
          </cell>
          <cell r="G997" t="str">
            <v>Core</v>
          </cell>
          <cell r="H997" t="str">
            <v>SG_03_01 Sun Glass Hut_Silver_OWNED</v>
          </cell>
          <cell r="I997" t="str">
            <v>0000005189 Intercity Shopping Centre</v>
          </cell>
          <cell r="J997" t="str">
            <v>Silver Kiosk</v>
          </cell>
          <cell r="K997">
            <v>0</v>
          </cell>
        </row>
        <row r="998">
          <cell r="C998">
            <v>5192</v>
          </cell>
          <cell r="D998" t="str">
            <v>Core</v>
          </cell>
          <cell r="E998" t="str">
            <v>Silver</v>
          </cell>
          <cell r="F998" t="str">
            <v>Silver Inline</v>
          </cell>
          <cell r="G998" t="str">
            <v>Core</v>
          </cell>
          <cell r="H998" t="str">
            <v>SG_03_01 Sun Glass Hut_Silver_OWNED</v>
          </cell>
          <cell r="I998" t="str">
            <v>0000005192 Alamance Crossing</v>
          </cell>
          <cell r="J998" t="str">
            <v>Silver Inline</v>
          </cell>
          <cell r="K998">
            <v>0</v>
          </cell>
        </row>
        <row r="999">
          <cell r="C999">
            <v>5237</v>
          </cell>
          <cell r="D999" t="str">
            <v>Core</v>
          </cell>
          <cell r="E999" t="str">
            <v>Silver</v>
          </cell>
          <cell r="F999" t="str">
            <v>Silver Kiosk</v>
          </cell>
          <cell r="G999" t="str">
            <v>Core</v>
          </cell>
          <cell r="H999" t="str">
            <v>SG_03_01 Sun Glass Hut_Silver_OWNED</v>
          </cell>
          <cell r="I999" t="str">
            <v>0000005237 Avalon Mall</v>
          </cell>
          <cell r="J999" t="str">
            <v>Silver Kiosk</v>
          </cell>
          <cell r="K999">
            <v>0</v>
          </cell>
        </row>
        <row r="1000">
          <cell r="C1000">
            <v>5239</v>
          </cell>
          <cell r="D1000" t="str">
            <v>Core</v>
          </cell>
          <cell r="E1000" t="str">
            <v>Silver</v>
          </cell>
          <cell r="F1000" t="str">
            <v>Silver Inline</v>
          </cell>
          <cell r="G1000" t="str">
            <v>Core</v>
          </cell>
          <cell r="H1000" t="str">
            <v>SG_03_01 Sun Glass Hut_Silver_OWNED</v>
          </cell>
          <cell r="I1000" t="str">
            <v>0000005239 Queens Marketplace</v>
          </cell>
          <cell r="J1000" t="str">
            <v>Silver Inline</v>
          </cell>
          <cell r="K1000">
            <v>0</v>
          </cell>
        </row>
        <row r="1001">
          <cell r="C1001">
            <v>5241</v>
          </cell>
          <cell r="D1001" t="str">
            <v>Core</v>
          </cell>
          <cell r="E1001" t="str">
            <v>Silver</v>
          </cell>
          <cell r="F1001" t="str">
            <v>Silver Inline</v>
          </cell>
          <cell r="G1001" t="str">
            <v>Core</v>
          </cell>
          <cell r="H1001" t="str">
            <v>SG_03_01 Sun Glass Hut_Silver_OWNED</v>
          </cell>
          <cell r="I1001" t="str">
            <v>0000005241 North Hills</v>
          </cell>
          <cell r="J1001" t="str">
            <v>Silver Inline</v>
          </cell>
          <cell r="K1001">
            <v>0</v>
          </cell>
        </row>
        <row r="1002">
          <cell r="C1002">
            <v>5252</v>
          </cell>
          <cell r="D1002" t="str">
            <v>Core</v>
          </cell>
          <cell r="E1002" t="str">
            <v>Silver</v>
          </cell>
          <cell r="F1002" t="str">
            <v>Silver Inline</v>
          </cell>
          <cell r="G1002" t="str">
            <v>Core</v>
          </cell>
          <cell r="H1002" t="str">
            <v>SG_03_01 Sun Glass Hut_Silver_OWNED</v>
          </cell>
          <cell r="I1002" t="str">
            <v>0000005252 The Ave Webb Gin</v>
          </cell>
          <cell r="J1002" t="str">
            <v>Silver Inline</v>
          </cell>
          <cell r="K1002">
            <v>0</v>
          </cell>
        </row>
        <row r="1003">
          <cell r="C1003">
            <v>5262</v>
          </cell>
          <cell r="D1003" t="str">
            <v>Core</v>
          </cell>
          <cell r="E1003" t="str">
            <v>Silver</v>
          </cell>
          <cell r="F1003" t="str">
            <v>Silver Inline</v>
          </cell>
          <cell r="G1003" t="str">
            <v>Core</v>
          </cell>
          <cell r="H1003" t="str">
            <v>SG_03_01 Sun Glass Hut_Silver_OWNED</v>
          </cell>
          <cell r="I1003" t="str">
            <v>0000005262 The Streets of Chester</v>
          </cell>
          <cell r="J1003" t="str">
            <v>Silver Inline</v>
          </cell>
          <cell r="K1003">
            <v>0</v>
          </cell>
        </row>
        <row r="1004">
          <cell r="C1004">
            <v>5265</v>
          </cell>
          <cell r="D1004" t="str">
            <v>Core</v>
          </cell>
          <cell r="E1004" t="str">
            <v>Silver</v>
          </cell>
          <cell r="F1004" t="str">
            <v>Silver Inline</v>
          </cell>
          <cell r="G1004" t="str">
            <v>Core</v>
          </cell>
          <cell r="H1004" t="str">
            <v>SG_03_01 Sun Glass Hut_Silver_OWNED</v>
          </cell>
          <cell r="I1004" t="str">
            <v>0000005265 Village At Sandhill</v>
          </cell>
          <cell r="J1004" t="str">
            <v>Silver Inline</v>
          </cell>
          <cell r="K1004">
            <v>0</v>
          </cell>
        </row>
        <row r="1005">
          <cell r="C1005">
            <v>5286</v>
          </cell>
          <cell r="D1005" t="str">
            <v>Core</v>
          </cell>
          <cell r="E1005" t="str">
            <v>Silver</v>
          </cell>
          <cell r="F1005" t="str">
            <v>Silver Inline</v>
          </cell>
          <cell r="G1005" t="str">
            <v>Core</v>
          </cell>
          <cell r="H1005" t="str">
            <v>SG_03_01 Sun Glass Hut_Silver_OWNED</v>
          </cell>
          <cell r="I1005" t="str">
            <v>0000005286 Greenwood Mall</v>
          </cell>
          <cell r="J1005" t="str">
            <v>Silver Inline</v>
          </cell>
          <cell r="K1005">
            <v>0</v>
          </cell>
        </row>
        <row r="1006">
          <cell r="C1006">
            <v>5299</v>
          </cell>
          <cell r="D1006" t="str">
            <v>Core</v>
          </cell>
          <cell r="E1006" t="str">
            <v>Silver</v>
          </cell>
          <cell r="F1006" t="str">
            <v>Silver Inline</v>
          </cell>
          <cell r="G1006" t="str">
            <v>Core</v>
          </cell>
          <cell r="H1006" t="str">
            <v>SG_03_01 Sun Glass Hut_Silver_OWNED</v>
          </cell>
          <cell r="I1006" t="str">
            <v>0000005299 Carriage Crossing</v>
          </cell>
          <cell r="J1006" t="str">
            <v>Silver Inline</v>
          </cell>
          <cell r="K1006">
            <v>0</v>
          </cell>
        </row>
        <row r="1007">
          <cell r="C1007">
            <v>5303</v>
          </cell>
          <cell r="D1007" t="str">
            <v>Core</v>
          </cell>
          <cell r="E1007" t="str">
            <v>Silver</v>
          </cell>
          <cell r="F1007" t="str">
            <v>Silver Inline</v>
          </cell>
          <cell r="G1007" t="str">
            <v>Core</v>
          </cell>
          <cell r="H1007" t="str">
            <v>SG_03_01 Sun Glass Hut_Silver_OWNED</v>
          </cell>
          <cell r="I1007" t="str">
            <v>0000005303 Valley Square Shopping Center</v>
          </cell>
          <cell r="J1007" t="str">
            <v>Silver Inline</v>
          </cell>
          <cell r="K1007">
            <v>0</v>
          </cell>
        </row>
        <row r="1008">
          <cell r="C1008">
            <v>5311</v>
          </cell>
          <cell r="D1008" t="str">
            <v>Core</v>
          </cell>
          <cell r="E1008" t="str">
            <v>Silver</v>
          </cell>
          <cell r="F1008" t="str">
            <v>Silver Inline</v>
          </cell>
          <cell r="G1008" t="str">
            <v>Core</v>
          </cell>
          <cell r="H1008" t="str">
            <v>SG_03_01 Sun Glass Hut_Silver_OWNED</v>
          </cell>
          <cell r="I1008" t="str">
            <v>0000005311 Ward Warehouse</v>
          </cell>
          <cell r="J1008" t="str">
            <v>Silver Inline</v>
          </cell>
          <cell r="K1008">
            <v>0</v>
          </cell>
        </row>
        <row r="1009">
          <cell r="C1009">
            <v>5326</v>
          </cell>
          <cell r="D1009" t="str">
            <v>Core</v>
          </cell>
          <cell r="E1009" t="str">
            <v>Silver</v>
          </cell>
          <cell r="F1009" t="str">
            <v>Silver Inline</v>
          </cell>
          <cell r="G1009" t="str">
            <v>Core</v>
          </cell>
          <cell r="H1009" t="str">
            <v>SG_03_01 Sun Glass Hut_Silver_OWNED</v>
          </cell>
          <cell r="I1009" t="str">
            <v>0000005326 Arlington Highlands</v>
          </cell>
          <cell r="J1009" t="str">
            <v>Silver Inline</v>
          </cell>
          <cell r="K1009">
            <v>0</v>
          </cell>
        </row>
        <row r="1010">
          <cell r="C1010">
            <v>5332</v>
          </cell>
          <cell r="D1010" t="str">
            <v>Core</v>
          </cell>
          <cell r="E1010" t="str">
            <v>Silver</v>
          </cell>
          <cell r="F1010" t="str">
            <v>Silver Inline</v>
          </cell>
          <cell r="G1010" t="str">
            <v>Core</v>
          </cell>
          <cell r="H1010" t="str">
            <v>SG_03_01 Sun Glass Hut_Silver_OWNED</v>
          </cell>
          <cell r="I1010" t="str">
            <v>0000005332 University Mall</v>
          </cell>
          <cell r="J1010" t="str">
            <v>Silver Inline</v>
          </cell>
          <cell r="K1010">
            <v>0</v>
          </cell>
        </row>
        <row r="1011">
          <cell r="C1011">
            <v>5528</v>
          </cell>
          <cell r="D1011" t="str">
            <v>Core</v>
          </cell>
          <cell r="E1011" t="str">
            <v>Silver</v>
          </cell>
          <cell r="F1011" t="str">
            <v>Silver Inline</v>
          </cell>
          <cell r="G1011" t="str">
            <v>Core</v>
          </cell>
          <cell r="H1011" t="str">
            <v>SG_03_01 Sun Glass Hut_Silver_OWNED</v>
          </cell>
          <cell r="I1011" t="str">
            <v>0000005528 Clay Terrace</v>
          </cell>
          <cell r="J1011" t="str">
            <v>Silver Inline</v>
          </cell>
          <cell r="K1011">
            <v>0</v>
          </cell>
        </row>
        <row r="1012">
          <cell r="C1012">
            <v>5539</v>
          </cell>
          <cell r="D1012" t="str">
            <v>Core</v>
          </cell>
          <cell r="E1012" t="str">
            <v>Silver</v>
          </cell>
          <cell r="F1012" t="str">
            <v>Silver Inline</v>
          </cell>
          <cell r="G1012" t="str">
            <v>Core</v>
          </cell>
          <cell r="H1012" t="str">
            <v>SG_03_01 Sun Glass Hut_Silver_OWNED</v>
          </cell>
          <cell r="I1012" t="str">
            <v>0000005539 The Meadows</v>
          </cell>
          <cell r="J1012" t="str">
            <v>Silver Inline</v>
          </cell>
          <cell r="K1012">
            <v>0</v>
          </cell>
        </row>
        <row r="1013">
          <cell r="C1013">
            <v>5714</v>
          </cell>
          <cell r="D1013" t="str">
            <v>Core</v>
          </cell>
          <cell r="E1013" t="str">
            <v>Silver</v>
          </cell>
          <cell r="F1013" t="str">
            <v>Silver Kiosk</v>
          </cell>
          <cell r="G1013" t="str">
            <v>Core</v>
          </cell>
          <cell r="H1013" t="str">
            <v>SG_03_01 Sun Glass Hut_Silver_OWNED</v>
          </cell>
          <cell r="I1013" t="str">
            <v>0000005714 Stone Rd Mall</v>
          </cell>
          <cell r="J1013" t="str">
            <v>Silver Kiosk</v>
          </cell>
          <cell r="K1013">
            <v>0</v>
          </cell>
        </row>
        <row r="1014">
          <cell r="C1014">
            <v>5814</v>
          </cell>
          <cell r="D1014" t="str">
            <v>Core</v>
          </cell>
          <cell r="E1014" t="str">
            <v>Silver</v>
          </cell>
          <cell r="F1014" t="str">
            <v>Silver Kiosk</v>
          </cell>
          <cell r="G1014" t="str">
            <v>Core</v>
          </cell>
          <cell r="H1014" t="str">
            <v>SG_03_01 Sun Glass Hut_Silver_OWNED</v>
          </cell>
          <cell r="I1014" t="str">
            <v>0000005814 Stonebriar Centre</v>
          </cell>
          <cell r="J1014" t="str">
            <v>Silver Kiosk</v>
          </cell>
          <cell r="K1014">
            <v>0</v>
          </cell>
        </row>
        <row r="1015">
          <cell r="C1015">
            <v>6084</v>
          </cell>
          <cell r="D1015" t="str">
            <v>Core</v>
          </cell>
          <cell r="E1015" t="str">
            <v>Silver</v>
          </cell>
          <cell r="F1015" t="str">
            <v>Silver Kiosk</v>
          </cell>
          <cell r="G1015" t="str">
            <v>Core</v>
          </cell>
          <cell r="H1015" t="str">
            <v>SG_03_01 Sun Glass Hut_Silver_OWNED</v>
          </cell>
          <cell r="I1015" t="str">
            <v>0000006084 Coronado Center</v>
          </cell>
          <cell r="J1015" t="str">
            <v>Silver Kiosk</v>
          </cell>
          <cell r="K1015">
            <v>0</v>
          </cell>
        </row>
        <row r="1016">
          <cell r="C1016">
            <v>6093</v>
          </cell>
          <cell r="D1016" t="str">
            <v>Core</v>
          </cell>
          <cell r="E1016" t="str">
            <v>Silver</v>
          </cell>
          <cell r="F1016" t="str">
            <v>Silver Inline</v>
          </cell>
          <cell r="G1016" t="str">
            <v>Core</v>
          </cell>
          <cell r="H1016" t="str">
            <v>SG_03_01 Sun Glass Hut_Silver_OWNED</v>
          </cell>
          <cell r="I1016" t="str">
            <v>0000006093 Superstition Springs Center</v>
          </cell>
          <cell r="J1016" t="str">
            <v>Silver Inline</v>
          </cell>
          <cell r="K1016">
            <v>0</v>
          </cell>
        </row>
        <row r="1017">
          <cell r="C1017">
            <v>6094</v>
          </cell>
          <cell r="D1017" t="str">
            <v>Core</v>
          </cell>
          <cell r="E1017" t="str">
            <v>Silver</v>
          </cell>
          <cell r="F1017" t="str">
            <v>Silver Inline</v>
          </cell>
          <cell r="G1017" t="str">
            <v>Core</v>
          </cell>
          <cell r="H1017" t="str">
            <v>SG_03_01 Sun Glass Hut_Silver_OWNED</v>
          </cell>
          <cell r="I1017" t="str">
            <v>0000006094 Firewheel Town Center</v>
          </cell>
          <cell r="J1017" t="str">
            <v>Silver Inline</v>
          </cell>
          <cell r="K1017">
            <v>0</v>
          </cell>
        </row>
        <row r="1018">
          <cell r="C1018">
            <v>6135</v>
          </cell>
          <cell r="D1018" t="str">
            <v>Core</v>
          </cell>
          <cell r="E1018" t="str">
            <v>Silver</v>
          </cell>
          <cell r="F1018" t="str">
            <v>Silver Kiosk</v>
          </cell>
          <cell r="G1018" t="str">
            <v>Core</v>
          </cell>
          <cell r="H1018" t="str">
            <v>SG_03_01 Sun Glass Hut_Silver_OWNED</v>
          </cell>
          <cell r="I1018" t="str">
            <v>0000006135 Flatiron Crossing</v>
          </cell>
          <cell r="J1018" t="str">
            <v>Silver Kiosk</v>
          </cell>
          <cell r="K1018">
            <v>0</v>
          </cell>
        </row>
        <row r="1019">
          <cell r="C1019">
            <v>7653</v>
          </cell>
          <cell r="D1019" t="str">
            <v>Core</v>
          </cell>
          <cell r="E1019" t="str">
            <v>Silver</v>
          </cell>
          <cell r="F1019" t="str">
            <v>Silver Inline</v>
          </cell>
          <cell r="G1019" t="str">
            <v>Core</v>
          </cell>
          <cell r="H1019" t="str">
            <v>SG_03_01 Sun Glass Hut_Silver_OWNED</v>
          </cell>
          <cell r="I1019" t="str">
            <v>0000007653 Rivercenter Mall</v>
          </cell>
          <cell r="J1019" t="str">
            <v>Silver Inline</v>
          </cell>
          <cell r="K1019">
            <v>0</v>
          </cell>
        </row>
        <row r="1020">
          <cell r="C1020">
            <v>7661</v>
          </cell>
          <cell r="D1020" t="str">
            <v>Core</v>
          </cell>
          <cell r="E1020" t="str">
            <v>Silver</v>
          </cell>
          <cell r="F1020" t="str">
            <v>Silver Kiosk</v>
          </cell>
          <cell r="G1020" t="str">
            <v>Core</v>
          </cell>
          <cell r="H1020" t="str">
            <v>SG_03_01 Sun Glass Hut_Silver_OWNED</v>
          </cell>
          <cell r="I1020" t="str">
            <v>0000007661 Fayette Mall</v>
          </cell>
          <cell r="J1020" t="str">
            <v>Silver Kiosk</v>
          </cell>
          <cell r="K1020">
            <v>0</v>
          </cell>
        </row>
        <row r="1021">
          <cell r="C1021">
            <v>1170</v>
          </cell>
          <cell r="D1021" t="str">
            <v>Core</v>
          </cell>
          <cell r="E1021" t="str">
            <v>Outlet</v>
          </cell>
          <cell r="F1021" t="str">
            <v>Outlet - Dom</v>
          </cell>
          <cell r="G1021" t="str">
            <v>Core-Outlet</v>
          </cell>
          <cell r="H1021" t="str">
            <v>SG_04_01 Sun Glass Hut_Outlet_OWNED</v>
          </cell>
          <cell r="I1021" t="str">
            <v>0000001170 Napa Premium Outlets</v>
          </cell>
          <cell r="J1021" t="str">
            <v>Outlet - Domestic</v>
          </cell>
          <cell r="K1021" t="str">
            <v>Top Tier</v>
          </cell>
        </row>
        <row r="1022">
          <cell r="C1022">
            <v>1229</v>
          </cell>
          <cell r="D1022" t="str">
            <v>Core</v>
          </cell>
          <cell r="E1022" t="str">
            <v>Outlet</v>
          </cell>
          <cell r="F1022" t="str">
            <v>Outlet - Dom</v>
          </cell>
          <cell r="G1022" t="str">
            <v>Core-Outlet</v>
          </cell>
          <cell r="H1022" t="str">
            <v>SG_04_01 Sun Glass Hut_Outlet_OWNED</v>
          </cell>
          <cell r="I1022" t="str">
            <v>0000001229 Nags Head Tanger Outlet</v>
          </cell>
          <cell r="J1022" t="str">
            <v>Outlet - Domestic</v>
          </cell>
          <cell r="K1022">
            <v>0</v>
          </cell>
        </row>
        <row r="1023">
          <cell r="C1023">
            <v>1289</v>
          </cell>
          <cell r="D1023" t="str">
            <v>Core</v>
          </cell>
          <cell r="E1023" t="str">
            <v>Outlet</v>
          </cell>
          <cell r="F1023" t="str">
            <v>Outlet - Dom</v>
          </cell>
          <cell r="G1023" t="str">
            <v>Core-Outlet</v>
          </cell>
          <cell r="H1023" t="str">
            <v>SG_04_01 Sun Glass Hut_Outlet_OWNED</v>
          </cell>
          <cell r="I1023" t="str">
            <v>0000001289 Pismo Beach Premium Outlets</v>
          </cell>
          <cell r="J1023" t="str">
            <v>Outlet - Domestic</v>
          </cell>
          <cell r="K1023">
            <v>0</v>
          </cell>
        </row>
        <row r="1024">
          <cell r="C1024">
            <v>1296</v>
          </cell>
          <cell r="D1024" t="str">
            <v>Core</v>
          </cell>
          <cell r="E1024" t="str">
            <v>Outlet</v>
          </cell>
          <cell r="F1024" t="str">
            <v>Outlet - Intl</v>
          </cell>
          <cell r="G1024" t="str">
            <v>Core-Outlet</v>
          </cell>
          <cell r="H1024" t="str">
            <v>SG_04_01 Sun Glass Hut_Outlet_OWNED</v>
          </cell>
          <cell r="I1024" t="str">
            <v>0000001296 Ontario Mills</v>
          </cell>
          <cell r="J1024" t="str">
            <v>Outlet - International</v>
          </cell>
          <cell r="K1024">
            <v>0</v>
          </cell>
        </row>
        <row r="1025">
          <cell r="C1025">
            <v>1298</v>
          </cell>
          <cell r="D1025" t="str">
            <v>Core</v>
          </cell>
          <cell r="E1025" t="str">
            <v>Outlet</v>
          </cell>
          <cell r="F1025" t="str">
            <v>Outlet - Intl</v>
          </cell>
          <cell r="G1025" t="str">
            <v>Core-Outlet</v>
          </cell>
          <cell r="H1025" t="str">
            <v>SG_04_01 Sun Glass Hut_Outlet_OWNED</v>
          </cell>
          <cell r="I1025" t="str">
            <v>0000001298 Ontario Mills</v>
          </cell>
          <cell r="J1025" t="str">
            <v>Outlet - International</v>
          </cell>
          <cell r="K1025">
            <v>0</v>
          </cell>
        </row>
        <row r="1026">
          <cell r="C1026">
            <v>1430</v>
          </cell>
          <cell r="D1026" t="str">
            <v>Core</v>
          </cell>
          <cell r="E1026" t="str">
            <v>Outlet</v>
          </cell>
          <cell r="F1026" t="str">
            <v>Outlet - Dom</v>
          </cell>
          <cell r="G1026" t="str">
            <v>Core-Outlet</v>
          </cell>
          <cell r="H1026" t="str">
            <v>SG_04_01 Sun Glass Hut_Outlet_OWNED</v>
          </cell>
          <cell r="I1026" t="str">
            <v>0000001430 Grapevine Mills</v>
          </cell>
          <cell r="J1026" t="str">
            <v>Outlet - Domestic</v>
          </cell>
          <cell r="K1026">
            <v>0</v>
          </cell>
        </row>
        <row r="1027">
          <cell r="C1027">
            <v>1443</v>
          </cell>
          <cell r="D1027" t="str">
            <v>Core</v>
          </cell>
          <cell r="E1027" t="str">
            <v>Outlet</v>
          </cell>
          <cell r="F1027" t="str">
            <v>Outlet - Dom</v>
          </cell>
          <cell r="G1027" t="str">
            <v>Core-Outlet</v>
          </cell>
          <cell r="H1027" t="str">
            <v>SG_04_01 Sun Glass Hut_Outlet_OWNED</v>
          </cell>
          <cell r="I1027" t="str">
            <v>0000001443 Outlet Marketplace</v>
          </cell>
          <cell r="J1027" t="str">
            <v>Outlet - Domestic</v>
          </cell>
          <cell r="K1027">
            <v>0</v>
          </cell>
        </row>
        <row r="1028">
          <cell r="C1028">
            <v>1675</v>
          </cell>
          <cell r="D1028" t="str">
            <v>Core</v>
          </cell>
          <cell r="E1028" t="str">
            <v>Outlet</v>
          </cell>
          <cell r="F1028" t="str">
            <v>Outlet - Loc</v>
          </cell>
          <cell r="G1028" t="str">
            <v>Core-Outlet</v>
          </cell>
          <cell r="H1028" t="str">
            <v>SG_04_01 Sun Glass Hut_Outlet_OWNED</v>
          </cell>
          <cell r="I1028" t="str">
            <v>0000001675 North Bend Premium Outlets</v>
          </cell>
          <cell r="J1028" t="str">
            <v>Outlet - Local</v>
          </cell>
          <cell r="K1028">
            <v>0</v>
          </cell>
        </row>
        <row r="1029">
          <cell r="C1029">
            <v>1678</v>
          </cell>
          <cell r="D1029" t="str">
            <v>Core</v>
          </cell>
          <cell r="E1029" t="str">
            <v>Outlet</v>
          </cell>
          <cell r="F1029" t="str">
            <v>Outlet - Dom</v>
          </cell>
          <cell r="G1029" t="str">
            <v>Core-Outlet</v>
          </cell>
          <cell r="H1029" t="str">
            <v>SG_04_01 Sun Glass Hut_Outlet_OWNED</v>
          </cell>
          <cell r="I1029" t="str">
            <v>0000001678 Vacaville Premium Outlets</v>
          </cell>
          <cell r="J1029" t="str">
            <v>Outlet - Domestic</v>
          </cell>
          <cell r="K1029">
            <v>0</v>
          </cell>
        </row>
        <row r="1030">
          <cell r="C1030">
            <v>1754</v>
          </cell>
          <cell r="D1030" t="str">
            <v>Core</v>
          </cell>
          <cell r="E1030" t="str">
            <v>Outlet</v>
          </cell>
          <cell r="F1030" t="str">
            <v>Outlet - Loc</v>
          </cell>
          <cell r="G1030" t="str">
            <v>Core-Outlet</v>
          </cell>
          <cell r="H1030" t="str">
            <v>SG_04_01 Sun Glass Hut_Outlet_OWNED</v>
          </cell>
          <cell r="I1030" t="str">
            <v>0000001754 Gaffney Premium Outlets</v>
          </cell>
          <cell r="J1030" t="str">
            <v>Outlet - Local</v>
          </cell>
          <cell r="K1030">
            <v>0</v>
          </cell>
        </row>
        <row r="1031">
          <cell r="C1031">
            <v>1804</v>
          </cell>
          <cell r="D1031" t="str">
            <v>Core</v>
          </cell>
          <cell r="E1031" t="str">
            <v>Outlet</v>
          </cell>
          <cell r="F1031" t="str">
            <v>Outlet - Loc</v>
          </cell>
          <cell r="G1031" t="str">
            <v>Core-Outlet</v>
          </cell>
          <cell r="H1031" t="str">
            <v>SG_04_01 Sun Glass Hut_Outlet_OWNED</v>
          </cell>
          <cell r="I1031" t="str">
            <v>0000001804 Arizona Mills</v>
          </cell>
          <cell r="J1031" t="str">
            <v>Outlet - Local</v>
          </cell>
          <cell r="K1031">
            <v>0</v>
          </cell>
        </row>
        <row r="1032">
          <cell r="C1032">
            <v>1805</v>
          </cell>
          <cell r="D1032" t="str">
            <v>Core</v>
          </cell>
          <cell r="E1032" t="str">
            <v>Outlet</v>
          </cell>
          <cell r="F1032" t="str">
            <v>Outlet - Loc</v>
          </cell>
          <cell r="G1032" t="str">
            <v>Core-Outlet</v>
          </cell>
          <cell r="H1032" t="str">
            <v>SG_04_01 Sun Glass Hut_Outlet_OWNED</v>
          </cell>
          <cell r="I1032" t="str">
            <v>0000001805 Arizona Mills</v>
          </cell>
          <cell r="J1032" t="str">
            <v>Outlet - Local</v>
          </cell>
          <cell r="K1032">
            <v>0</v>
          </cell>
        </row>
        <row r="1033">
          <cell r="C1033">
            <v>1829</v>
          </cell>
          <cell r="D1033" t="str">
            <v>Core</v>
          </cell>
          <cell r="E1033" t="str">
            <v>Outlet</v>
          </cell>
          <cell r="F1033" t="str">
            <v>Outlet - Intl</v>
          </cell>
          <cell r="G1033" t="str">
            <v>Core-Outlet</v>
          </cell>
          <cell r="H1033" t="str">
            <v>SG_04_01 Sun Glass Hut_Outlet_OWNED</v>
          </cell>
          <cell r="I1033" t="str">
            <v>0000001829 Sawgrass Mills</v>
          </cell>
          <cell r="J1033" t="str">
            <v>Outlet - International</v>
          </cell>
          <cell r="K1033" t="str">
            <v>Top Tier</v>
          </cell>
        </row>
        <row r="1034">
          <cell r="C1034">
            <v>1850</v>
          </cell>
          <cell r="D1034" t="str">
            <v>Core</v>
          </cell>
          <cell r="E1034" t="str">
            <v>Outlet</v>
          </cell>
          <cell r="F1034" t="str">
            <v>Outlet - Loc</v>
          </cell>
          <cell r="G1034" t="str">
            <v>Core-Outlet</v>
          </cell>
          <cell r="H1034" t="str">
            <v>SG_04_01 Sun Glass Hut_Outlet_OWNED</v>
          </cell>
          <cell r="I1034" t="str">
            <v>0000001850 Potomac Mills</v>
          </cell>
          <cell r="J1034" t="str">
            <v>Outlet - Local</v>
          </cell>
          <cell r="K1034">
            <v>0</v>
          </cell>
        </row>
        <row r="1035">
          <cell r="C1035">
            <v>1914</v>
          </cell>
          <cell r="D1035" t="str">
            <v>Core</v>
          </cell>
          <cell r="E1035" t="str">
            <v>Outlet</v>
          </cell>
          <cell r="F1035" t="str">
            <v>Outlet - Loc</v>
          </cell>
          <cell r="G1035" t="str">
            <v>Core-Outlet</v>
          </cell>
          <cell r="H1035" t="str">
            <v>SG_04_01 Sun Glass Hut_Outlet_OWNED</v>
          </cell>
          <cell r="I1035" t="str">
            <v>0000001914 French Mountain Commons</v>
          </cell>
          <cell r="J1035" t="str">
            <v>Outlet - Local</v>
          </cell>
          <cell r="K1035">
            <v>0</v>
          </cell>
        </row>
        <row r="1036">
          <cell r="C1036">
            <v>1915</v>
          </cell>
          <cell r="D1036" t="str">
            <v>Core</v>
          </cell>
          <cell r="E1036" t="str">
            <v>Outlet</v>
          </cell>
          <cell r="F1036" t="str">
            <v>Outlet - Dom</v>
          </cell>
          <cell r="G1036" t="str">
            <v>Core-Outlet</v>
          </cell>
          <cell r="H1036" t="str">
            <v>SG_04_01 Sun Glass Hut_Outlet_OWNED</v>
          </cell>
          <cell r="I1036" t="str">
            <v>0000001915 Kittery Premium Outlets</v>
          </cell>
          <cell r="J1036" t="str">
            <v>Outlet - Domestic</v>
          </cell>
          <cell r="K1036">
            <v>0</v>
          </cell>
        </row>
        <row r="1037">
          <cell r="C1037">
            <v>1938</v>
          </cell>
          <cell r="D1037" t="str">
            <v>Core</v>
          </cell>
          <cell r="E1037" t="str">
            <v>Outlet</v>
          </cell>
          <cell r="F1037" t="str">
            <v>Outlet - Loc</v>
          </cell>
          <cell r="G1037" t="str">
            <v>Core-Outlet</v>
          </cell>
          <cell r="H1037" t="str">
            <v>SG_04_01 Sun Glass Hut_Outlet_OWNED</v>
          </cell>
          <cell r="I1037" t="str">
            <v>0000001938 Blowing Rock Tanger Outlet</v>
          </cell>
          <cell r="J1037" t="str">
            <v>Outlet - Local</v>
          </cell>
          <cell r="K1037">
            <v>0</v>
          </cell>
        </row>
        <row r="1038">
          <cell r="C1038">
            <v>1987</v>
          </cell>
          <cell r="D1038" t="str">
            <v>Core</v>
          </cell>
          <cell r="E1038" t="str">
            <v>Outlet</v>
          </cell>
          <cell r="F1038" t="str">
            <v>Outlet - Loc</v>
          </cell>
          <cell r="G1038" t="str">
            <v>Core-Outlet</v>
          </cell>
          <cell r="H1038" t="str">
            <v>SG_04_01 Sun Glass Hut_Outlet_OWNED</v>
          </cell>
          <cell r="I1038" t="str">
            <v>0000001987 Preferred Outlets at Tulare</v>
          </cell>
          <cell r="J1038" t="str">
            <v>Outlet - Local</v>
          </cell>
          <cell r="K1038">
            <v>0</v>
          </cell>
        </row>
        <row r="1039">
          <cell r="C1039">
            <v>1988</v>
          </cell>
          <cell r="D1039" t="str">
            <v>Core</v>
          </cell>
          <cell r="E1039" t="str">
            <v>Outlet</v>
          </cell>
          <cell r="F1039" t="str">
            <v>Outlet - Dom</v>
          </cell>
          <cell r="G1039" t="str">
            <v>Core-Outlet</v>
          </cell>
          <cell r="H1039" t="str">
            <v>SG_04_01 Sun Glass Hut_Outlet_OWNED</v>
          </cell>
          <cell r="I1039" t="str">
            <v>0000001988 Laughlin Outlet Center</v>
          </cell>
          <cell r="J1039" t="str">
            <v>Outlet - Domestic</v>
          </cell>
          <cell r="K1039">
            <v>0</v>
          </cell>
        </row>
        <row r="1040">
          <cell r="C1040">
            <v>1995</v>
          </cell>
          <cell r="D1040" t="str">
            <v>Core</v>
          </cell>
          <cell r="E1040" t="str">
            <v>Outlet</v>
          </cell>
          <cell r="F1040" t="str">
            <v>Outlet - Intl</v>
          </cell>
          <cell r="G1040" t="str">
            <v>Core-Outlet</v>
          </cell>
          <cell r="H1040" t="str">
            <v>SG_04_01 Sun Glass Hut_Outlet_OWNED</v>
          </cell>
          <cell r="I1040" t="str">
            <v>0000001995 Pleasant Prairie Premium Outle</v>
          </cell>
          <cell r="J1040" t="str">
            <v>Outlet - International</v>
          </cell>
          <cell r="K1040">
            <v>0</v>
          </cell>
        </row>
        <row r="1041">
          <cell r="C1041">
            <v>2109</v>
          </cell>
          <cell r="D1041" t="str">
            <v>Core</v>
          </cell>
          <cell r="E1041" t="str">
            <v>Outlet</v>
          </cell>
          <cell r="F1041" t="str">
            <v>Outlet - Loc</v>
          </cell>
          <cell r="G1041" t="str">
            <v>Core-Outlet</v>
          </cell>
          <cell r="H1041" t="str">
            <v>SG_04_01 Sun Glass Hut_Outlet_OWNED</v>
          </cell>
          <cell r="I1041" t="str">
            <v>0000002109 Osage Beach Premium Outlets</v>
          </cell>
          <cell r="J1041" t="str">
            <v>Outlet - Local</v>
          </cell>
          <cell r="K1041">
            <v>0</v>
          </cell>
        </row>
        <row r="1042">
          <cell r="C1042">
            <v>2175</v>
          </cell>
          <cell r="D1042" t="str">
            <v>Core</v>
          </cell>
          <cell r="E1042" t="str">
            <v>Outlet</v>
          </cell>
          <cell r="F1042" t="str">
            <v>Outlet - Dom</v>
          </cell>
          <cell r="G1042" t="str">
            <v>Core-Outlet</v>
          </cell>
          <cell r="H1042" t="str">
            <v>SG_04_01 Sun Glass Hut_Outlet_OWNED</v>
          </cell>
          <cell r="I1042" t="str">
            <v>0000002175 St Augustine Premium Outlets</v>
          </cell>
          <cell r="J1042" t="str">
            <v>Outlet - Domestic</v>
          </cell>
          <cell r="K1042">
            <v>0</v>
          </cell>
        </row>
        <row r="1043">
          <cell r="C1043">
            <v>2277</v>
          </cell>
          <cell r="D1043" t="str">
            <v>Core</v>
          </cell>
          <cell r="E1043" t="str">
            <v>Outlet</v>
          </cell>
          <cell r="F1043" t="str">
            <v>Outlet - Dom</v>
          </cell>
          <cell r="G1043" t="str">
            <v>Core-Outlet</v>
          </cell>
          <cell r="H1043" t="str">
            <v>SG_04_01 Sun Glass Hut_Outlet_OWNED</v>
          </cell>
          <cell r="I1043" t="str">
            <v>0000002277 Lighthouse Place Premium Outle</v>
          </cell>
          <cell r="J1043" t="str">
            <v>Outlet - Domestic</v>
          </cell>
          <cell r="K1043">
            <v>0</v>
          </cell>
        </row>
        <row r="1044">
          <cell r="C1044">
            <v>2300</v>
          </cell>
          <cell r="D1044" t="str">
            <v>Core</v>
          </cell>
          <cell r="E1044" t="str">
            <v>Outlet</v>
          </cell>
          <cell r="F1044" t="str">
            <v>Outlet - Dom</v>
          </cell>
          <cell r="G1044" t="str">
            <v>Core-Outlet</v>
          </cell>
          <cell r="H1044" t="str">
            <v>SG_04_01 Sun Glass Hut_Outlet_OWNED</v>
          </cell>
          <cell r="I1044" t="str">
            <v>0000002300 Edinburgh Premium Outlets</v>
          </cell>
          <cell r="J1044" t="str">
            <v>Outlet - Domestic</v>
          </cell>
          <cell r="K1044">
            <v>0</v>
          </cell>
        </row>
        <row r="1045">
          <cell r="C1045">
            <v>2352</v>
          </cell>
          <cell r="D1045" t="str">
            <v>Core</v>
          </cell>
          <cell r="E1045" t="str">
            <v>Outlet</v>
          </cell>
          <cell r="F1045" t="str">
            <v>Outlet - Dom</v>
          </cell>
          <cell r="G1045" t="str">
            <v>Core-Outlet</v>
          </cell>
          <cell r="H1045" t="str">
            <v>SG_04_01 Sun Glass Hut_Outlet_OWNED</v>
          </cell>
          <cell r="I1045" t="str">
            <v>0000002352 Outlets At Silverthorne</v>
          </cell>
          <cell r="J1045" t="str">
            <v>Outlet - Domestic</v>
          </cell>
          <cell r="K1045">
            <v>0</v>
          </cell>
        </row>
        <row r="1046">
          <cell r="C1046">
            <v>2358</v>
          </cell>
          <cell r="D1046" t="str">
            <v>Core</v>
          </cell>
          <cell r="E1046" t="str">
            <v>Outlet</v>
          </cell>
          <cell r="F1046" t="str">
            <v>Outlet - Dom</v>
          </cell>
          <cell r="G1046" t="str">
            <v>Core-Outlet</v>
          </cell>
          <cell r="H1046" t="str">
            <v>SG_04_01 Sun Glass Hut_Outlet_OWNED</v>
          </cell>
          <cell r="I1046" t="str">
            <v>0000002358 Williamsburg Premium Outlets</v>
          </cell>
          <cell r="J1046" t="str">
            <v>Outlet - Domestic</v>
          </cell>
          <cell r="K1046">
            <v>0</v>
          </cell>
        </row>
        <row r="1047">
          <cell r="C1047">
            <v>2372</v>
          </cell>
          <cell r="D1047" t="str">
            <v>Core</v>
          </cell>
          <cell r="E1047" t="str">
            <v>Outlet</v>
          </cell>
          <cell r="F1047" t="str">
            <v>Outlet - Loc</v>
          </cell>
          <cell r="G1047" t="str">
            <v>Core-Outlet</v>
          </cell>
          <cell r="H1047" t="str">
            <v>SG_04_01 Sun Glass Hut_Outlet_OWNED</v>
          </cell>
          <cell r="I1047" t="str">
            <v>0000002372 Calhoun Premium Outlets</v>
          </cell>
          <cell r="J1047" t="str">
            <v>Outlet - Local</v>
          </cell>
          <cell r="K1047">
            <v>0</v>
          </cell>
        </row>
        <row r="1048">
          <cell r="C1048">
            <v>2524</v>
          </cell>
          <cell r="D1048" t="str">
            <v>Core</v>
          </cell>
          <cell r="E1048" t="str">
            <v>Outlet</v>
          </cell>
          <cell r="F1048" t="str">
            <v>Outlet - Loc</v>
          </cell>
          <cell r="G1048" t="str">
            <v>Core-Outlet</v>
          </cell>
          <cell r="H1048" t="str">
            <v>SG_04_01 Sun Glass Hut_Outlet_OWNED</v>
          </cell>
          <cell r="I1048" t="str">
            <v>0000002524 Merrimack Premium Outlets</v>
          </cell>
          <cell r="J1048" t="str">
            <v>Outlet - Local</v>
          </cell>
          <cell r="K1048">
            <v>0</v>
          </cell>
        </row>
        <row r="1049">
          <cell r="C1049">
            <v>2525</v>
          </cell>
          <cell r="D1049" t="str">
            <v>Core</v>
          </cell>
          <cell r="E1049" t="str">
            <v>Outlet</v>
          </cell>
          <cell r="F1049" t="str">
            <v>Outlet - Intl</v>
          </cell>
          <cell r="G1049" t="str">
            <v>Core-Outlet</v>
          </cell>
          <cell r="H1049" t="str">
            <v>SG_04_01 Sun Glass Hut_Outlet_OWNED</v>
          </cell>
          <cell r="I1049" t="str">
            <v>0000002525 Fort Myers Tanger Outlets</v>
          </cell>
          <cell r="J1049" t="str">
            <v>Outlet - International</v>
          </cell>
          <cell r="K1049">
            <v>0</v>
          </cell>
        </row>
        <row r="1050">
          <cell r="C1050">
            <v>2563</v>
          </cell>
          <cell r="D1050" t="str">
            <v>Core</v>
          </cell>
          <cell r="E1050" t="str">
            <v>Outlet</v>
          </cell>
          <cell r="F1050" t="str">
            <v>Outlet - Intl</v>
          </cell>
          <cell r="G1050" t="str">
            <v>Core-Outlet</v>
          </cell>
          <cell r="H1050" t="str">
            <v>SG_04_01 Sun Glass Hut_Outlet_OWNED</v>
          </cell>
          <cell r="I1050" t="str">
            <v>0000002563 Fashion Outlets of Chicago</v>
          </cell>
          <cell r="J1050" t="str">
            <v>Outlet - International</v>
          </cell>
          <cell r="K1050">
            <v>0</v>
          </cell>
        </row>
        <row r="1051">
          <cell r="C1051">
            <v>2703</v>
          </cell>
          <cell r="D1051" t="str">
            <v>Core</v>
          </cell>
          <cell r="E1051" t="str">
            <v>Outlet</v>
          </cell>
          <cell r="F1051" t="str">
            <v>Outlet - Dom</v>
          </cell>
          <cell r="G1051" t="str">
            <v>Core-Outlet</v>
          </cell>
          <cell r="H1051" t="str">
            <v>SG_04_01 Sun Glass Hut_Outlet_OWNED</v>
          </cell>
          <cell r="I1051" t="str">
            <v>0000002703 Opry Mills</v>
          </cell>
          <cell r="J1051" t="str">
            <v>Outlet - Domestic</v>
          </cell>
          <cell r="K1051">
            <v>0</v>
          </cell>
        </row>
        <row r="1052">
          <cell r="C1052">
            <v>2710</v>
          </cell>
          <cell r="D1052" t="str">
            <v>Core</v>
          </cell>
          <cell r="E1052" t="str">
            <v>Outlet</v>
          </cell>
          <cell r="F1052" t="str">
            <v>Outlet - Loc</v>
          </cell>
          <cell r="G1052" t="str">
            <v>Core-Outlet</v>
          </cell>
          <cell r="H1052" t="str">
            <v>SG_04_01 Sun Glass Hut_Outlet_OWNED</v>
          </cell>
          <cell r="I1052" t="str">
            <v>0000002710 Vaughan Mills</v>
          </cell>
          <cell r="J1052" t="str">
            <v>Outlet - Local</v>
          </cell>
          <cell r="K1052">
            <v>0</v>
          </cell>
        </row>
        <row r="1053">
          <cell r="C1053">
            <v>2712</v>
          </cell>
          <cell r="D1053" t="str">
            <v>Core</v>
          </cell>
          <cell r="E1053" t="str">
            <v>Outlet</v>
          </cell>
          <cell r="F1053" t="str">
            <v>Outlet - Intl</v>
          </cell>
          <cell r="G1053" t="str">
            <v>Core-Outlet</v>
          </cell>
          <cell r="H1053" t="str">
            <v>SG_04_01 Sun Glass Hut_Outlet_OWNED</v>
          </cell>
          <cell r="I1053" t="str">
            <v>0000002712 The Outlet Collection at Niaga</v>
          </cell>
          <cell r="J1053" t="str">
            <v>Outlet - International</v>
          </cell>
          <cell r="K1053">
            <v>0</v>
          </cell>
        </row>
        <row r="1054">
          <cell r="C1054">
            <v>2770</v>
          </cell>
          <cell r="D1054" t="str">
            <v>Core</v>
          </cell>
          <cell r="E1054" t="str">
            <v>Outlet</v>
          </cell>
          <cell r="F1054" t="str">
            <v>Outlet - Dom</v>
          </cell>
          <cell r="G1054" t="str">
            <v>Core-Outlet</v>
          </cell>
          <cell r="H1054" t="str">
            <v>SG_04_01 Sun Glass Hut_Outlet_OWNED</v>
          </cell>
          <cell r="I1054" t="str">
            <v>0000002770 Tanger Outlet Rehoboth Beach</v>
          </cell>
          <cell r="J1054" t="str">
            <v>Outlet - Domestic</v>
          </cell>
          <cell r="K1054">
            <v>0</v>
          </cell>
        </row>
        <row r="1055">
          <cell r="C1055">
            <v>2786</v>
          </cell>
          <cell r="D1055" t="str">
            <v>Core</v>
          </cell>
          <cell r="E1055" t="str">
            <v>Outlet</v>
          </cell>
          <cell r="F1055" t="str">
            <v>Outlet - Intl</v>
          </cell>
          <cell r="G1055" t="str">
            <v>Core-Outlet</v>
          </cell>
          <cell r="H1055" t="str">
            <v>SG_04_01 Sun Glass Hut_Outlet_OWNED</v>
          </cell>
          <cell r="I1055" t="str">
            <v>0000002786 Gran Plaza Outlets</v>
          </cell>
          <cell r="J1055" t="str">
            <v>Outlet - International</v>
          </cell>
          <cell r="K1055">
            <v>0</v>
          </cell>
        </row>
        <row r="1056">
          <cell r="C1056">
            <v>2850</v>
          </cell>
          <cell r="D1056" t="str">
            <v>Core</v>
          </cell>
          <cell r="E1056" t="str">
            <v>Outlet</v>
          </cell>
          <cell r="F1056" t="str">
            <v>Outlet - Intl</v>
          </cell>
          <cell r="G1056" t="str">
            <v>Core-Outlet</v>
          </cell>
          <cell r="H1056" t="str">
            <v>SG_04_01 Sun Glass Hut_Outlet_OWNED</v>
          </cell>
          <cell r="I1056" t="str">
            <v>0000002850 Phoenix Premium Outlets</v>
          </cell>
          <cell r="J1056" t="str">
            <v>Outlet - International</v>
          </cell>
          <cell r="K1056">
            <v>0</v>
          </cell>
        </row>
        <row r="1057">
          <cell r="C1057">
            <v>2851</v>
          </cell>
          <cell r="D1057" t="str">
            <v>Core</v>
          </cell>
          <cell r="E1057" t="str">
            <v>Outlet</v>
          </cell>
          <cell r="F1057" t="str">
            <v>Outlet - Dom</v>
          </cell>
          <cell r="G1057" t="str">
            <v>Core-Outlet</v>
          </cell>
          <cell r="H1057" t="str">
            <v>SG_04_01 Sun Glass Hut_Outlet_OWNED</v>
          </cell>
          <cell r="I1057" t="str">
            <v>0000002851 Tanger Outlet - National Harbo</v>
          </cell>
          <cell r="J1057" t="str">
            <v>Outlet - Domestic</v>
          </cell>
          <cell r="K1057">
            <v>0</v>
          </cell>
        </row>
        <row r="1058">
          <cell r="C1058">
            <v>2856</v>
          </cell>
          <cell r="D1058" t="str">
            <v>Core</v>
          </cell>
          <cell r="E1058" t="str">
            <v>Outlet</v>
          </cell>
          <cell r="F1058" t="str">
            <v>Outlet - Dom</v>
          </cell>
          <cell r="G1058" t="str">
            <v>Core-Outlet</v>
          </cell>
          <cell r="H1058" t="str">
            <v>SG_04_01 Sun Glass Hut_Outlet_OWNED</v>
          </cell>
          <cell r="I1058" t="str">
            <v>0000002856 Tanger Outlets - Gulf Freeway</v>
          </cell>
          <cell r="J1058" t="str">
            <v>Outlet - Domestic</v>
          </cell>
          <cell r="K1058">
            <v>0</v>
          </cell>
        </row>
        <row r="1059">
          <cell r="C1059">
            <v>2874</v>
          </cell>
          <cell r="D1059" t="str">
            <v>Core</v>
          </cell>
          <cell r="E1059" t="str">
            <v>Outlet</v>
          </cell>
          <cell r="F1059" t="str">
            <v>Outlet - Loc</v>
          </cell>
          <cell r="G1059" t="str">
            <v>Core-Outlet</v>
          </cell>
          <cell r="H1059" t="str">
            <v>SG_04_01 Sun Glass Hut_Outlet_OWNED</v>
          </cell>
          <cell r="I1059" t="str">
            <v>0000002874 Westgate Tanger Outlet Center</v>
          </cell>
          <cell r="J1059" t="str">
            <v>Outlet - Local</v>
          </cell>
          <cell r="K1059">
            <v>0</v>
          </cell>
        </row>
        <row r="1060">
          <cell r="C1060">
            <v>2948</v>
          </cell>
          <cell r="D1060" t="str">
            <v>Core</v>
          </cell>
          <cell r="E1060" t="str">
            <v>Outlet</v>
          </cell>
          <cell r="F1060" t="str">
            <v>Outlet - Dom</v>
          </cell>
          <cell r="G1060" t="str">
            <v>Core-Outlet</v>
          </cell>
          <cell r="H1060" t="str">
            <v>SG_04_01 Sun Glass Hut_Outlet_OWNED</v>
          </cell>
          <cell r="I1060" t="str">
            <v>0000002948 The Outlet Collection at River</v>
          </cell>
          <cell r="J1060" t="str">
            <v>Outlet - Domestic</v>
          </cell>
          <cell r="K1060">
            <v>0</v>
          </cell>
        </row>
        <row r="1061">
          <cell r="C1061">
            <v>2949</v>
          </cell>
          <cell r="D1061" t="str">
            <v>Core</v>
          </cell>
          <cell r="E1061" t="str">
            <v>Outlet</v>
          </cell>
          <cell r="F1061" t="str">
            <v>Outlet - Loc</v>
          </cell>
          <cell r="G1061" t="str">
            <v>Core-Outlet</v>
          </cell>
          <cell r="H1061" t="str">
            <v>SG_04_01 Sun Glass Hut_Outlet_OWNED</v>
          </cell>
          <cell r="I1061" t="str">
            <v>0000002949 The Outlets of Mississippi</v>
          </cell>
          <cell r="J1061" t="str">
            <v>Outlet - Local</v>
          </cell>
          <cell r="K1061">
            <v>0</v>
          </cell>
        </row>
        <row r="1062">
          <cell r="C1062">
            <v>2950</v>
          </cell>
          <cell r="D1062" t="str">
            <v>Core</v>
          </cell>
          <cell r="E1062" t="str">
            <v>Outlet</v>
          </cell>
          <cell r="F1062" t="str">
            <v>Outlet - Dom</v>
          </cell>
          <cell r="G1062" t="str">
            <v>Core-Outlet</v>
          </cell>
          <cell r="H1062" t="str">
            <v>SG_04_01 Sun Glass Hut_Outlet_OWNED</v>
          </cell>
          <cell r="I1062" t="str">
            <v>0000002950 Hilton Head II Tanger Outlet</v>
          </cell>
          <cell r="J1062" t="str">
            <v>Outlet - Domestic</v>
          </cell>
          <cell r="K1062">
            <v>0</v>
          </cell>
        </row>
        <row r="1063">
          <cell r="C1063">
            <v>2963</v>
          </cell>
          <cell r="D1063" t="str">
            <v>Core</v>
          </cell>
          <cell r="E1063" t="str">
            <v>Outlet</v>
          </cell>
          <cell r="F1063" t="str">
            <v>Outlet - Dom</v>
          </cell>
          <cell r="G1063" t="str">
            <v>Core-Outlet</v>
          </cell>
          <cell r="H1063" t="str">
            <v>SG_04_01 Sun Glass Hut_Outlet_OWNED</v>
          </cell>
          <cell r="I1063" t="str">
            <v>0000002963 Folsom Premium Outlets</v>
          </cell>
          <cell r="J1063" t="str">
            <v>Outlet - Domestic</v>
          </cell>
          <cell r="K1063">
            <v>0</v>
          </cell>
        </row>
        <row r="1064">
          <cell r="C1064">
            <v>3015</v>
          </cell>
          <cell r="D1064" t="str">
            <v>Core</v>
          </cell>
          <cell r="E1064" t="str">
            <v>Outlet</v>
          </cell>
          <cell r="F1064" t="str">
            <v>Outlet - Loc</v>
          </cell>
          <cell r="G1064" t="str">
            <v>Core-Outlet</v>
          </cell>
          <cell r="H1064" t="str">
            <v>SG_04_01 Sun Glass Hut_Outlet_OWNED</v>
          </cell>
          <cell r="I1064" t="str">
            <v>0000003015 Outlets at Viejas</v>
          </cell>
          <cell r="J1064" t="str">
            <v>Outlet - Local</v>
          </cell>
          <cell r="K1064">
            <v>0</v>
          </cell>
        </row>
        <row r="1065">
          <cell r="C1065">
            <v>3026</v>
          </cell>
          <cell r="D1065" t="str">
            <v>Core</v>
          </cell>
          <cell r="E1065" t="str">
            <v>Outlet</v>
          </cell>
          <cell r="F1065" t="str">
            <v>Outlet - Dom</v>
          </cell>
          <cell r="G1065" t="str">
            <v>Core-Outlet</v>
          </cell>
          <cell r="H1065" t="str">
            <v>SG_04_01 Sun Glass Hut_Outlet_OWNED</v>
          </cell>
          <cell r="I1065" t="str">
            <v>0000003026 Queenstown Premium Outlets</v>
          </cell>
          <cell r="J1065" t="str">
            <v>Outlet - Domestic</v>
          </cell>
          <cell r="K1065">
            <v>0</v>
          </cell>
        </row>
        <row r="1066">
          <cell r="C1066">
            <v>3027</v>
          </cell>
          <cell r="D1066" t="str">
            <v>Core</v>
          </cell>
          <cell r="E1066" t="str">
            <v>Outlet</v>
          </cell>
          <cell r="F1066" t="str">
            <v>Outlet - Loc</v>
          </cell>
          <cell r="G1066" t="str">
            <v>Core-Outlet</v>
          </cell>
          <cell r="H1066" t="str">
            <v>SG_04_01 Sun Glass Hut_Outlet_OWNED</v>
          </cell>
          <cell r="I1066" t="str">
            <v>0000003027 Jackson Premium Outlets</v>
          </cell>
          <cell r="J1066" t="str">
            <v>Outlet - Local</v>
          </cell>
          <cell r="K1066">
            <v>0</v>
          </cell>
        </row>
        <row r="1067">
          <cell r="C1067">
            <v>3044</v>
          </cell>
          <cell r="D1067" t="str">
            <v>Core</v>
          </cell>
          <cell r="E1067" t="str">
            <v>Outlet</v>
          </cell>
          <cell r="F1067" t="str">
            <v>Outlet - Loc</v>
          </cell>
          <cell r="G1067" t="str">
            <v>Core-Outlet</v>
          </cell>
          <cell r="H1067" t="str">
            <v>SG_04_01 Sun Glass Hut_Outlet_OWNED</v>
          </cell>
          <cell r="I1067" t="str">
            <v>0000003044 Great Lakes Crossings Outlets</v>
          </cell>
          <cell r="J1067" t="str">
            <v>Outlet - Local</v>
          </cell>
          <cell r="K1067">
            <v>0</v>
          </cell>
        </row>
        <row r="1068">
          <cell r="C1068">
            <v>3099</v>
          </cell>
          <cell r="D1068" t="str">
            <v>Core</v>
          </cell>
          <cell r="E1068" t="str">
            <v>Outlet</v>
          </cell>
          <cell r="F1068" t="str">
            <v>Outlet - Intl</v>
          </cell>
          <cell r="G1068" t="str">
            <v>Core-Outlet</v>
          </cell>
          <cell r="H1068" t="str">
            <v>SG_04_01 Sun Glass Hut_Outlet_OWNED</v>
          </cell>
          <cell r="I1068" t="str">
            <v>0000003099 Las Vegas Premium Outlets Sout</v>
          </cell>
          <cell r="J1068" t="str">
            <v>Outlet - International</v>
          </cell>
          <cell r="K1068">
            <v>0</v>
          </cell>
        </row>
        <row r="1069">
          <cell r="C1069">
            <v>3190</v>
          </cell>
          <cell r="D1069" t="str">
            <v>Core</v>
          </cell>
          <cell r="E1069" t="str">
            <v>Outlet</v>
          </cell>
          <cell r="F1069" t="str">
            <v>Outlet - Loc</v>
          </cell>
          <cell r="G1069" t="str">
            <v>Core-Outlet</v>
          </cell>
          <cell r="H1069" t="str">
            <v>SG_04_01 Sun Glass Hut_Outlet_OWNED</v>
          </cell>
          <cell r="I1069" t="str">
            <v>0000003190 Lake Elsinore Outlets</v>
          </cell>
          <cell r="J1069" t="str">
            <v>Outlet - Local</v>
          </cell>
          <cell r="K1069">
            <v>0</v>
          </cell>
        </row>
        <row r="1070">
          <cell r="C1070">
            <v>3270</v>
          </cell>
          <cell r="D1070" t="str">
            <v>Core</v>
          </cell>
          <cell r="E1070" t="str">
            <v>Outlet</v>
          </cell>
          <cell r="F1070" t="str">
            <v>Outlet - Loc</v>
          </cell>
          <cell r="G1070" t="str">
            <v>Core-Outlet</v>
          </cell>
          <cell r="H1070" t="str">
            <v>SG_04_01 Sun Glass Hut_Outlet_OWNED</v>
          </cell>
          <cell r="I1070" t="str">
            <v>0000003270 The Outlets at Zion</v>
          </cell>
          <cell r="J1070" t="str">
            <v>Outlet - Local</v>
          </cell>
          <cell r="K1070">
            <v>0</v>
          </cell>
        </row>
        <row r="1071">
          <cell r="C1071">
            <v>3291</v>
          </cell>
          <cell r="D1071" t="str">
            <v>Core</v>
          </cell>
          <cell r="E1071" t="str">
            <v>Outlet</v>
          </cell>
          <cell r="F1071" t="str">
            <v>Outlet - Loc</v>
          </cell>
          <cell r="G1071" t="str">
            <v>Core-Outlet</v>
          </cell>
          <cell r="H1071" t="str">
            <v>SG_04_01 Sun Glass Hut_Outlet_OWNED</v>
          </cell>
          <cell r="I1071" t="str">
            <v>0000003291 Outlet Route 66</v>
          </cell>
          <cell r="J1071" t="str">
            <v>Outlet - Local</v>
          </cell>
          <cell r="K1071">
            <v>0</v>
          </cell>
        </row>
        <row r="1072">
          <cell r="C1072">
            <v>3292</v>
          </cell>
          <cell r="D1072" t="str">
            <v>Core</v>
          </cell>
          <cell r="E1072" t="str">
            <v>Outlet</v>
          </cell>
          <cell r="F1072" t="str">
            <v>Outlet - Loc</v>
          </cell>
          <cell r="G1072" t="str">
            <v>Core-Outlet</v>
          </cell>
          <cell r="H1072" t="str">
            <v>SG_04_01 Sun Glass Hut_Outlet_OWNED</v>
          </cell>
          <cell r="I1072" t="str">
            <v>0000003292 Outlet Route 66</v>
          </cell>
          <cell r="J1072" t="str">
            <v>Outlet - Local</v>
          </cell>
          <cell r="K1072">
            <v>0</v>
          </cell>
        </row>
        <row r="1073">
          <cell r="C1073">
            <v>3293</v>
          </cell>
          <cell r="D1073" t="str">
            <v>Core</v>
          </cell>
          <cell r="E1073" t="str">
            <v>Outlet</v>
          </cell>
          <cell r="F1073" t="str">
            <v>Outlet - Intl</v>
          </cell>
          <cell r="G1073" t="str">
            <v>Core-Outlet</v>
          </cell>
          <cell r="H1073" t="str">
            <v>SG_04_01 Sun Glass Hut_Outlet_OWNED</v>
          </cell>
          <cell r="I1073" t="str">
            <v>0000003293 Puerto Rico Premium Outlets</v>
          </cell>
          <cell r="J1073" t="str">
            <v>Outlet - International</v>
          </cell>
          <cell r="K1073">
            <v>0</v>
          </cell>
        </row>
        <row r="1074">
          <cell r="C1074">
            <v>3380</v>
          </cell>
          <cell r="D1074" t="str">
            <v>Core</v>
          </cell>
          <cell r="E1074" t="str">
            <v>Outlet</v>
          </cell>
          <cell r="F1074" t="str">
            <v>Outlet - Dom</v>
          </cell>
          <cell r="G1074" t="str">
            <v>Core-Outlet</v>
          </cell>
          <cell r="H1074" t="str">
            <v>SG_04_01 Sun Glass Hut_Outlet_OWNED</v>
          </cell>
          <cell r="I1074" t="str">
            <v>0000003380 Tanger Outlet - Lancaster</v>
          </cell>
          <cell r="J1074" t="str">
            <v xml:space="preserve">Outlet - Domestic </v>
          </cell>
          <cell r="K1074">
            <v>0</v>
          </cell>
        </row>
        <row r="1075">
          <cell r="C1075">
            <v>3421</v>
          </cell>
          <cell r="D1075" t="str">
            <v>Core</v>
          </cell>
          <cell r="E1075" t="str">
            <v>Outlet</v>
          </cell>
          <cell r="F1075" t="str">
            <v>Outlet - Dom</v>
          </cell>
          <cell r="G1075" t="str">
            <v>Core-Outlet</v>
          </cell>
          <cell r="H1075" t="str">
            <v>SG_04_01 Sun Glass Hut_Outlet_OWNED</v>
          </cell>
          <cell r="I1075" t="str">
            <v>0000003421 Hershey Tanger Outlets</v>
          </cell>
          <cell r="J1075" t="str">
            <v>Outlet - Domestic</v>
          </cell>
          <cell r="K1075">
            <v>0</v>
          </cell>
        </row>
        <row r="1076">
          <cell r="C1076">
            <v>3437</v>
          </cell>
          <cell r="D1076" t="str">
            <v>Core</v>
          </cell>
          <cell r="E1076" t="str">
            <v>Outlet</v>
          </cell>
          <cell r="F1076" t="str">
            <v>Outlet - Loc</v>
          </cell>
          <cell r="G1076" t="str">
            <v>Core-Outlet</v>
          </cell>
          <cell r="H1076" t="str">
            <v>SG_04_01 Sun Glass Hut_Outlet_OWNED</v>
          </cell>
          <cell r="I1076" t="str">
            <v>0000003437 Lebanon Premium Outlets</v>
          </cell>
          <cell r="J1076" t="str">
            <v>Outlet - Local</v>
          </cell>
          <cell r="K1076">
            <v>0</v>
          </cell>
        </row>
        <row r="1077">
          <cell r="C1077">
            <v>3453</v>
          </cell>
          <cell r="D1077" t="str">
            <v>Core</v>
          </cell>
          <cell r="E1077" t="str">
            <v>Outlet</v>
          </cell>
          <cell r="F1077" t="str">
            <v>Outlet - Intl</v>
          </cell>
          <cell r="G1077" t="str">
            <v>Core-Outlet</v>
          </cell>
          <cell r="H1077" t="str">
            <v>SG_04_01 Sun Glass Hut_Outlet_OWNED</v>
          </cell>
          <cell r="I1077" t="str">
            <v>0000003453 Outlet Collection Jersey Garde</v>
          </cell>
          <cell r="J1077" t="str">
            <v>Outlet - International</v>
          </cell>
          <cell r="K1077" t="str">
            <v>Top Tier</v>
          </cell>
        </row>
        <row r="1078">
          <cell r="C1078">
            <v>3468</v>
          </cell>
          <cell r="D1078" t="str">
            <v>Core</v>
          </cell>
          <cell r="E1078" t="str">
            <v>Outlet</v>
          </cell>
          <cell r="F1078" t="str">
            <v>Outlet - Loc</v>
          </cell>
          <cell r="G1078" t="str">
            <v>Core-Outlet</v>
          </cell>
          <cell r="H1078" t="str">
            <v>SG_04_01 Sun Glass Hut_Outlet_OWNED</v>
          </cell>
          <cell r="I1078" t="str">
            <v>0000003468 Toronto Premium Outlets</v>
          </cell>
          <cell r="J1078" t="str">
            <v xml:space="preserve">Outlet - Local </v>
          </cell>
          <cell r="K1078">
            <v>0</v>
          </cell>
        </row>
        <row r="1079">
          <cell r="C1079">
            <v>3469</v>
          </cell>
          <cell r="D1079" t="str">
            <v>Core</v>
          </cell>
          <cell r="E1079" t="str">
            <v>Outlet</v>
          </cell>
          <cell r="F1079" t="str">
            <v>Outlet - Dom</v>
          </cell>
          <cell r="G1079" t="str">
            <v>Core-Outlet</v>
          </cell>
          <cell r="H1079" t="str">
            <v>SG_04_01 Sun Glass Hut_Outlet_OWNED</v>
          </cell>
          <cell r="I1079" t="str">
            <v>0000003469 Concord Mills</v>
          </cell>
          <cell r="J1079" t="str">
            <v>Outlet - Domestic</v>
          </cell>
          <cell r="K1079">
            <v>0</v>
          </cell>
        </row>
        <row r="1080">
          <cell r="C1080">
            <v>3470</v>
          </cell>
          <cell r="D1080" t="str">
            <v>Core</v>
          </cell>
          <cell r="E1080" t="str">
            <v>Outlet</v>
          </cell>
          <cell r="F1080" t="str">
            <v>Outlet - Loc</v>
          </cell>
          <cell r="G1080" t="str">
            <v>Core-Outlet</v>
          </cell>
          <cell r="H1080" t="str">
            <v>SG_04_01 Sun Glass Hut_Outlet_OWNED</v>
          </cell>
          <cell r="I1080" t="str">
            <v>0000003470 Katy Mills</v>
          </cell>
          <cell r="J1080" t="str">
            <v>Outlet - Local</v>
          </cell>
          <cell r="K1080">
            <v>0</v>
          </cell>
        </row>
        <row r="1081">
          <cell r="C1081">
            <v>3551</v>
          </cell>
          <cell r="D1081" t="str">
            <v>Core</v>
          </cell>
          <cell r="E1081" t="str">
            <v>Outlet</v>
          </cell>
          <cell r="F1081" t="str">
            <v>Outlet - Dom</v>
          </cell>
          <cell r="G1081" t="str">
            <v>Core-Outlet</v>
          </cell>
          <cell r="H1081" t="str">
            <v>SG_04_01 Sun Glass Hut_Outlet_OWNED</v>
          </cell>
          <cell r="I1081" t="str">
            <v>0000003551 San Marcos Tanger Outlet</v>
          </cell>
          <cell r="J1081" t="str">
            <v>Outlet - Domestic</v>
          </cell>
          <cell r="K1081">
            <v>0</v>
          </cell>
        </row>
        <row r="1082">
          <cell r="C1082">
            <v>3562</v>
          </cell>
          <cell r="D1082" t="str">
            <v>Core</v>
          </cell>
          <cell r="E1082" t="str">
            <v>Outlet</v>
          </cell>
          <cell r="F1082" t="str">
            <v>Outlet - Intl</v>
          </cell>
          <cell r="G1082" t="str">
            <v>Core-Outlet</v>
          </cell>
          <cell r="H1082" t="str">
            <v>SG_04_01 Sun Glass Hut_Outlet_OWNED</v>
          </cell>
          <cell r="I1082" t="str">
            <v>0000003562 Dolphin Mall</v>
          </cell>
          <cell r="J1082" t="str">
            <v>Outlet - International</v>
          </cell>
          <cell r="K1082" t="str">
            <v>Top Tier</v>
          </cell>
        </row>
        <row r="1083">
          <cell r="C1083">
            <v>3614</v>
          </cell>
          <cell r="D1083" t="str">
            <v>Core</v>
          </cell>
          <cell r="E1083" t="str">
            <v>Outlet</v>
          </cell>
          <cell r="F1083" t="str">
            <v>Outlet - Loc</v>
          </cell>
          <cell r="G1083" t="str">
            <v>Core-Outlet</v>
          </cell>
          <cell r="H1083" t="str">
            <v>SG_04_01 Sun Glass Hut_Outlet_OWNED</v>
          </cell>
          <cell r="I1083" t="str">
            <v>0000003614 Sugarloaf Mills</v>
          </cell>
          <cell r="J1083" t="str">
            <v>Outlet - Local</v>
          </cell>
          <cell r="K1083">
            <v>0</v>
          </cell>
        </row>
        <row r="1084">
          <cell r="C1084">
            <v>3663</v>
          </cell>
          <cell r="D1084" t="str">
            <v>Core</v>
          </cell>
          <cell r="E1084" t="str">
            <v>Outlet</v>
          </cell>
          <cell r="F1084" t="str">
            <v>Outlet - Dom</v>
          </cell>
          <cell r="G1084" t="str">
            <v>Core-Outlet</v>
          </cell>
          <cell r="H1084" t="str">
            <v>SG_04_01 Sun Glass Hut_Outlet_OWNED</v>
          </cell>
          <cell r="I1084" t="str">
            <v>0000003663 Silver Sands Factory Stores</v>
          </cell>
          <cell r="J1084" t="str">
            <v>Outlet - Domestic</v>
          </cell>
          <cell r="K1084" t="str">
            <v>Top Tier</v>
          </cell>
        </row>
        <row r="1085">
          <cell r="C1085">
            <v>3732</v>
          </cell>
          <cell r="D1085" t="str">
            <v>Core</v>
          </cell>
          <cell r="E1085" t="str">
            <v>Outlet</v>
          </cell>
          <cell r="F1085" t="str">
            <v>Outlet - Loc</v>
          </cell>
          <cell r="G1085" t="str">
            <v>Core-Outlet</v>
          </cell>
          <cell r="H1085" t="str">
            <v>SG_04_01 Sun Glass Hut_Outlet_OWNED</v>
          </cell>
          <cell r="I1085" t="str">
            <v>0000003732 Ocean City Tanger Outlets</v>
          </cell>
          <cell r="J1085" t="str">
            <v>Outlet - Local</v>
          </cell>
          <cell r="K1085">
            <v>0</v>
          </cell>
        </row>
        <row r="1086">
          <cell r="C1086">
            <v>3738</v>
          </cell>
          <cell r="D1086" t="str">
            <v>Core</v>
          </cell>
          <cell r="E1086" t="str">
            <v>Outlet</v>
          </cell>
          <cell r="F1086" t="str">
            <v>Outlet - Dom</v>
          </cell>
          <cell r="G1086" t="str">
            <v>Core-Outlet</v>
          </cell>
          <cell r="H1086" t="str">
            <v>SG_04_01 Sun Glass Hut_Outlet_OWNED</v>
          </cell>
          <cell r="I1086" t="str">
            <v>0000003738 Palm Beach Fashion Outlet</v>
          </cell>
          <cell r="J1086" t="str">
            <v>Outlet - Domestic</v>
          </cell>
          <cell r="K1086">
            <v>0</v>
          </cell>
        </row>
        <row r="1087">
          <cell r="C1087">
            <v>3744</v>
          </cell>
          <cell r="D1087" t="str">
            <v>Core</v>
          </cell>
          <cell r="E1087" t="str">
            <v>Outlet</v>
          </cell>
          <cell r="F1087" t="str">
            <v>Outlet - Loc</v>
          </cell>
          <cell r="G1087" t="str">
            <v>Core-Outlet</v>
          </cell>
          <cell r="H1087" t="str">
            <v>SG_04_01 Sun Glass Hut_Outlet_OWNED</v>
          </cell>
          <cell r="I1087" t="str">
            <v>0000003744 Westbrook Tanger Outlets</v>
          </cell>
          <cell r="J1087" t="str">
            <v>Outlet - Local</v>
          </cell>
          <cell r="K1087">
            <v>0</v>
          </cell>
        </row>
        <row r="1088">
          <cell r="C1088">
            <v>3746</v>
          </cell>
          <cell r="D1088" t="str">
            <v>Core</v>
          </cell>
          <cell r="E1088" t="str">
            <v>Outlet</v>
          </cell>
          <cell r="F1088" t="str">
            <v>Outlet - Dom</v>
          </cell>
          <cell r="G1088" t="str">
            <v>Core-Outlet</v>
          </cell>
          <cell r="H1088" t="str">
            <v>SG_04_01 Sun Glass Hut_Outlet_OWNED</v>
          </cell>
          <cell r="I1088" t="str">
            <v>0000003746 Myrtle Bch Tanger Outlets - Hw</v>
          </cell>
          <cell r="J1088" t="str">
            <v>Outlet - Domestic</v>
          </cell>
          <cell r="K1088">
            <v>0</v>
          </cell>
        </row>
        <row r="1089">
          <cell r="C1089">
            <v>3755</v>
          </cell>
          <cell r="D1089" t="str">
            <v>Core</v>
          </cell>
          <cell r="E1089" t="str">
            <v>Outlet</v>
          </cell>
          <cell r="F1089" t="str">
            <v>Outlet - Intl</v>
          </cell>
          <cell r="G1089" t="str">
            <v>Core-Outlet</v>
          </cell>
          <cell r="H1089" t="str">
            <v>SG_04_01 Sun Glass Hut_Outlet_OWNED</v>
          </cell>
          <cell r="I1089" t="str">
            <v>0000003755 Fashion Outlets of Niagara Fal</v>
          </cell>
          <cell r="J1089" t="str">
            <v>Outlet - International</v>
          </cell>
          <cell r="K1089">
            <v>0</v>
          </cell>
        </row>
        <row r="1090">
          <cell r="C1090">
            <v>3756</v>
          </cell>
          <cell r="D1090" t="str">
            <v>Core</v>
          </cell>
          <cell r="E1090" t="str">
            <v>Outlet</v>
          </cell>
          <cell r="F1090" t="str">
            <v>Outlet - Loc</v>
          </cell>
          <cell r="G1090" t="str">
            <v>Core-Outlet</v>
          </cell>
          <cell r="H1090" t="str">
            <v>SG_04_01 Sun Glass Hut_Outlet_OWNED</v>
          </cell>
          <cell r="I1090" t="str">
            <v>0000003756 Waterloo Premium Outlets</v>
          </cell>
          <cell r="J1090" t="str">
            <v>Outlet - Local</v>
          </cell>
          <cell r="K1090">
            <v>0</v>
          </cell>
        </row>
        <row r="1091">
          <cell r="C1091">
            <v>3760</v>
          </cell>
          <cell r="D1091" t="str">
            <v>Core</v>
          </cell>
          <cell r="E1091" t="str">
            <v>Outlet</v>
          </cell>
          <cell r="F1091" t="str">
            <v>Outlet - Loc</v>
          </cell>
          <cell r="G1091" t="str">
            <v>Core-Outlet</v>
          </cell>
          <cell r="H1091" t="str">
            <v>SG_04_01 Sun Glass Hut_Outlet_OWNED</v>
          </cell>
          <cell r="I1091" t="str">
            <v>0000003760 St. Louis Premium Outlets</v>
          </cell>
          <cell r="J1091" t="str">
            <v xml:space="preserve">Outlet - Local </v>
          </cell>
          <cell r="K1091">
            <v>0</v>
          </cell>
        </row>
        <row r="1092">
          <cell r="C1092">
            <v>3764</v>
          </cell>
          <cell r="D1092" t="str">
            <v>Core</v>
          </cell>
          <cell r="E1092" t="str">
            <v>Outlet</v>
          </cell>
          <cell r="F1092" t="str">
            <v>Outlet - Loc</v>
          </cell>
          <cell r="G1092" t="str">
            <v>Core-Outlet</v>
          </cell>
          <cell r="H1092" t="str">
            <v>SG_04_01 Sun Glass Hut_Outlet_OWNED</v>
          </cell>
          <cell r="I1092" t="str">
            <v>0000003764 Lee Premium Outlets</v>
          </cell>
          <cell r="J1092" t="str">
            <v>Outlet - Local</v>
          </cell>
          <cell r="K1092">
            <v>0</v>
          </cell>
        </row>
        <row r="1093">
          <cell r="C1093">
            <v>3771</v>
          </cell>
          <cell r="D1093" t="str">
            <v>Core</v>
          </cell>
          <cell r="E1093" t="str">
            <v>Outlet</v>
          </cell>
          <cell r="F1093" t="str">
            <v>Outlet - Intl</v>
          </cell>
          <cell r="G1093" t="str">
            <v>Core-Outlet</v>
          </cell>
          <cell r="H1093" t="str">
            <v>SG_04_01 Sun Glass Hut_Outlet_OWNED</v>
          </cell>
          <cell r="I1093" t="str">
            <v>0000003771 Camarillo Premium Outlets</v>
          </cell>
          <cell r="J1093" t="str">
            <v>Outlet - International</v>
          </cell>
          <cell r="K1093" t="str">
            <v>Top Tier</v>
          </cell>
        </row>
        <row r="1094">
          <cell r="C1094">
            <v>3906</v>
          </cell>
          <cell r="D1094" t="str">
            <v>Core</v>
          </cell>
          <cell r="E1094" t="str">
            <v>Outlet</v>
          </cell>
          <cell r="F1094" t="str">
            <v>Outlet - Dom</v>
          </cell>
          <cell r="G1094" t="str">
            <v>Core-Outlet</v>
          </cell>
          <cell r="H1094" t="str">
            <v>SG_04_01 Sun Glass Hut_Outlet_OWNED</v>
          </cell>
          <cell r="I1094" t="str">
            <v>0000003906 St. Augustine Outlets</v>
          </cell>
          <cell r="J1094" t="str">
            <v>Outlet - Domestic</v>
          </cell>
          <cell r="K1094">
            <v>0</v>
          </cell>
        </row>
        <row r="1095">
          <cell r="C1095">
            <v>3946</v>
          </cell>
          <cell r="D1095" t="str">
            <v>Core</v>
          </cell>
          <cell r="E1095" t="str">
            <v>Outlet</v>
          </cell>
          <cell r="F1095" t="str">
            <v>Outlet - Loc</v>
          </cell>
          <cell r="G1095" t="str">
            <v>Core-Outlet</v>
          </cell>
          <cell r="H1095" t="str">
            <v>SG_04_01 Sun Glass Hut_Outlet_OWNED</v>
          </cell>
          <cell r="I1095" t="str">
            <v>0000003946 Colorado Mills</v>
          </cell>
          <cell r="J1095" t="str">
            <v>Outlet - Local</v>
          </cell>
          <cell r="K1095">
            <v>0</v>
          </cell>
        </row>
        <row r="1096">
          <cell r="C1096">
            <v>3970</v>
          </cell>
          <cell r="D1096" t="str">
            <v>Core</v>
          </cell>
          <cell r="E1096" t="str">
            <v>Outlet</v>
          </cell>
          <cell r="F1096" t="str">
            <v>Outlet - Loc</v>
          </cell>
          <cell r="G1096" t="str">
            <v>Core-Outlet</v>
          </cell>
          <cell r="H1096" t="str">
            <v>SG_04_01 Sun Glass Hut_Outlet_OWNED</v>
          </cell>
          <cell r="I1096" t="str">
            <v>0000003970 Nebraska Crossing Outlet</v>
          </cell>
          <cell r="J1096" t="str">
            <v>Outlet - Local</v>
          </cell>
          <cell r="K1096">
            <v>0</v>
          </cell>
        </row>
        <row r="1097">
          <cell r="C1097">
            <v>3980</v>
          </cell>
          <cell r="D1097" t="str">
            <v>Core</v>
          </cell>
          <cell r="E1097" t="str">
            <v>Outlet</v>
          </cell>
          <cell r="F1097" t="str">
            <v>Outlet - Dom</v>
          </cell>
          <cell r="G1097" t="str">
            <v>Core-Outlet</v>
          </cell>
          <cell r="H1097" t="str">
            <v>SG_04_01 Sun Glass Hut_Outlet_OWNED</v>
          </cell>
          <cell r="I1097" t="str">
            <v>0000003980 The Outlet Shoppes at Atlanta</v>
          </cell>
          <cell r="J1097" t="str">
            <v>Outlet - Domestic</v>
          </cell>
          <cell r="K1097">
            <v>0</v>
          </cell>
        </row>
        <row r="1098">
          <cell r="C1098">
            <v>4034</v>
          </cell>
          <cell r="D1098" t="str">
            <v>Core</v>
          </cell>
          <cell r="E1098" t="str">
            <v>Outlet</v>
          </cell>
          <cell r="F1098" t="str">
            <v>Outlet - Loc</v>
          </cell>
          <cell r="G1098" t="str">
            <v>Core-Outlet</v>
          </cell>
          <cell r="H1098" t="str">
            <v>SG_04_01 Sun Glass Hut_Outlet_OWNED</v>
          </cell>
          <cell r="I1098" t="str">
            <v>0000004034 Gurnee Mills Mall</v>
          </cell>
          <cell r="J1098" t="str">
            <v>Outlet - Local</v>
          </cell>
          <cell r="K1098">
            <v>0</v>
          </cell>
        </row>
        <row r="1099">
          <cell r="C1099">
            <v>4039</v>
          </cell>
          <cell r="D1099" t="str">
            <v>Core</v>
          </cell>
          <cell r="E1099" t="str">
            <v>Outlet</v>
          </cell>
          <cell r="F1099" t="str">
            <v>Outlet - Dom</v>
          </cell>
          <cell r="G1099" t="str">
            <v>Core-Outlet</v>
          </cell>
          <cell r="H1099" t="str">
            <v>SG_04_01 Sun Glass Hut_Outlet_OWNED</v>
          </cell>
          <cell r="I1099" t="str">
            <v>0000004039 Myrtle Beach Tanger Outlet - H</v>
          </cell>
          <cell r="J1099" t="str">
            <v>Outlet - Domestic</v>
          </cell>
          <cell r="K1099">
            <v>0</v>
          </cell>
        </row>
        <row r="1100">
          <cell r="C1100">
            <v>4069</v>
          </cell>
          <cell r="D1100" t="str">
            <v>Core</v>
          </cell>
          <cell r="E1100" t="str">
            <v>Outlet</v>
          </cell>
          <cell r="F1100" t="str">
            <v>Outlet - Dom</v>
          </cell>
          <cell r="G1100" t="str">
            <v>Core-Outlet</v>
          </cell>
          <cell r="H1100" t="str">
            <v>SG_04_01 Sun Glass Hut_Outlet_OWNED</v>
          </cell>
          <cell r="I1100" t="str">
            <v>0000004069 Foley Tanger Outlet</v>
          </cell>
          <cell r="J1100" t="str">
            <v>Outlet - Domestic</v>
          </cell>
          <cell r="K1100">
            <v>0</v>
          </cell>
        </row>
        <row r="1101">
          <cell r="C1101">
            <v>4072</v>
          </cell>
          <cell r="D1101" t="str">
            <v>Core</v>
          </cell>
          <cell r="E1101" t="str">
            <v>Outlet</v>
          </cell>
          <cell r="F1101" t="str">
            <v>Outlet - Loc</v>
          </cell>
          <cell r="G1101" t="str">
            <v>Core-Outlet</v>
          </cell>
          <cell r="H1101" t="str">
            <v>SG_04_01 Sun Glass Hut_Outlet_OWNED</v>
          </cell>
          <cell r="I1101" t="str">
            <v>0000004072 Colorado Mills</v>
          </cell>
          <cell r="J1101" t="str">
            <v>Outlet - Local</v>
          </cell>
          <cell r="K1101">
            <v>0</v>
          </cell>
        </row>
        <row r="1102">
          <cell r="C1102">
            <v>4081</v>
          </cell>
          <cell r="D1102" t="str">
            <v>Core</v>
          </cell>
          <cell r="E1102" t="str">
            <v>Outlet</v>
          </cell>
          <cell r="F1102" t="str">
            <v>Outlet - Intl</v>
          </cell>
          <cell r="G1102" t="str">
            <v>Core-Outlet</v>
          </cell>
          <cell r="H1102" t="str">
            <v>SG_04_01 Sun Glass Hut_Outlet_OWNED</v>
          </cell>
          <cell r="I1102" t="str">
            <v>0000004081 Waikele Premium Outlets</v>
          </cell>
          <cell r="J1102" t="str">
            <v>Outlet - International</v>
          </cell>
          <cell r="K1102">
            <v>0</v>
          </cell>
        </row>
        <row r="1103">
          <cell r="C1103">
            <v>4162</v>
          </cell>
          <cell r="D1103" t="str">
            <v>Core</v>
          </cell>
          <cell r="E1103" t="str">
            <v>Outlet</v>
          </cell>
          <cell r="F1103" t="str">
            <v>Outlet - Dom</v>
          </cell>
          <cell r="G1103" t="str">
            <v>Core-Outlet</v>
          </cell>
          <cell r="H1103" t="str">
            <v>SG_04_01 Sun Glass Hut_Outlet_OWNED</v>
          </cell>
          <cell r="I1103" t="str">
            <v>0000004162 Las Vegas Premium Outlets Sout</v>
          </cell>
          <cell r="J1103" t="str">
            <v>Outlet - Domestic</v>
          </cell>
          <cell r="K1103" t="str">
            <v>Top Tier</v>
          </cell>
        </row>
        <row r="1104">
          <cell r="C1104">
            <v>4210</v>
          </cell>
          <cell r="D1104" t="str">
            <v>Core</v>
          </cell>
          <cell r="E1104" t="str">
            <v>Outlet</v>
          </cell>
          <cell r="F1104" t="str">
            <v>Outlet - Dom</v>
          </cell>
          <cell r="G1104" t="str">
            <v>Core-Outlet</v>
          </cell>
          <cell r="H1104" t="str">
            <v>SG_04_01 Sun Glass Hut_Outlet_OWNED</v>
          </cell>
          <cell r="I1104" t="str">
            <v>0000004210 Rehoboth Beach Tanger Outlets</v>
          </cell>
          <cell r="J1104" t="str">
            <v>Outlet - Domestic</v>
          </cell>
          <cell r="K1104">
            <v>0</v>
          </cell>
        </row>
        <row r="1105">
          <cell r="C1105">
            <v>4259</v>
          </cell>
          <cell r="D1105" t="str">
            <v>Core</v>
          </cell>
          <cell r="E1105" t="str">
            <v>Outlet</v>
          </cell>
          <cell r="F1105" t="str">
            <v>Outlet - Loc</v>
          </cell>
          <cell r="G1105" t="str">
            <v>Core-Outlet</v>
          </cell>
          <cell r="H1105" t="str">
            <v>SG_04_01 Sun Glass Hut_Outlet_OWNED</v>
          </cell>
          <cell r="I1105" t="str">
            <v>0000004259 Settlers Green Outlet Village</v>
          </cell>
          <cell r="J1105" t="str">
            <v>Outlet - Local</v>
          </cell>
          <cell r="K1105">
            <v>0</v>
          </cell>
        </row>
        <row r="1106">
          <cell r="C1106">
            <v>4263</v>
          </cell>
          <cell r="D1106" t="str">
            <v>Core</v>
          </cell>
          <cell r="E1106" t="str">
            <v>Outlet</v>
          </cell>
          <cell r="F1106" t="str">
            <v>Outlet - Intl</v>
          </cell>
          <cell r="G1106" t="str">
            <v>Core-Outlet</v>
          </cell>
          <cell r="H1106" t="str">
            <v>SG_04_01 Sun Glass Hut_Outlet_OWNED</v>
          </cell>
          <cell r="I1106" t="str">
            <v>0000004263 Las Vegas Premium Outlets Nort</v>
          </cell>
          <cell r="J1106" t="str">
            <v>Outlet - International</v>
          </cell>
          <cell r="K1106" t="str">
            <v>Top Tier</v>
          </cell>
        </row>
        <row r="1107">
          <cell r="C1107">
            <v>4266</v>
          </cell>
          <cell r="D1107" t="str">
            <v>Core</v>
          </cell>
          <cell r="E1107" t="str">
            <v>Outlet</v>
          </cell>
          <cell r="F1107" t="str">
            <v>Outlet - Intl</v>
          </cell>
          <cell r="G1107" t="str">
            <v>Core-Outlet</v>
          </cell>
          <cell r="H1107" t="str">
            <v>SG_04_01 Sun Glass Hut_Outlet_OWNED</v>
          </cell>
          <cell r="I1107" t="str">
            <v>0000004266 Las Vegas Premium Outlets Nort</v>
          </cell>
          <cell r="J1107" t="str">
            <v>Outlet - International</v>
          </cell>
          <cell r="K1107" t="str">
            <v>Top Tier</v>
          </cell>
        </row>
        <row r="1108">
          <cell r="C1108">
            <v>4278</v>
          </cell>
          <cell r="D1108" t="str">
            <v>Core</v>
          </cell>
          <cell r="E1108" t="str">
            <v>Outlet</v>
          </cell>
          <cell r="F1108" t="str">
            <v>Outlet - Intl</v>
          </cell>
          <cell r="G1108" t="str">
            <v>Core-Outlet</v>
          </cell>
          <cell r="H1108" t="str">
            <v>SG_04_01 Sun Glass Hut_Outlet_OWNED</v>
          </cell>
          <cell r="I1108" t="str">
            <v>0000004278 Chicago Premium Outlets</v>
          </cell>
          <cell r="J1108" t="str">
            <v>Outlet - International</v>
          </cell>
          <cell r="K1108">
            <v>0</v>
          </cell>
        </row>
        <row r="1109">
          <cell r="C1109">
            <v>4280</v>
          </cell>
          <cell r="D1109" t="str">
            <v>Core</v>
          </cell>
          <cell r="E1109" t="str">
            <v>Outlet</v>
          </cell>
          <cell r="F1109" t="str">
            <v>Outlet - Intl</v>
          </cell>
          <cell r="G1109" t="str">
            <v>Core-Outlet</v>
          </cell>
          <cell r="H1109" t="str">
            <v>SG_04_01 Sun Glass Hut_Outlet_OWNED</v>
          </cell>
          <cell r="I1109" t="str">
            <v>0000004280 Chicago Premium Outlets</v>
          </cell>
          <cell r="J1109" t="str">
            <v>Outlet - International</v>
          </cell>
          <cell r="K1109">
            <v>0</v>
          </cell>
        </row>
        <row r="1110">
          <cell r="C1110">
            <v>4284</v>
          </cell>
          <cell r="D1110" t="str">
            <v>Core</v>
          </cell>
          <cell r="E1110" t="str">
            <v>Outlet</v>
          </cell>
          <cell r="F1110" t="str">
            <v>Outlet - Intl</v>
          </cell>
          <cell r="G1110" t="str">
            <v>Core-Outlet</v>
          </cell>
          <cell r="H1110" t="str">
            <v>SG_04_01 Sun Glass Hut_Outlet_OWNED</v>
          </cell>
          <cell r="I1110" t="str">
            <v>0000004284 Citadel Outlets</v>
          </cell>
          <cell r="J1110" t="str">
            <v>Outlet - International</v>
          </cell>
          <cell r="K1110" t="str">
            <v>Top Tier</v>
          </cell>
        </row>
        <row r="1111">
          <cell r="C1111">
            <v>4316</v>
          </cell>
          <cell r="D1111" t="str">
            <v>Core</v>
          </cell>
          <cell r="E1111" t="str">
            <v>Outlet</v>
          </cell>
          <cell r="F1111" t="str">
            <v>Outlet - Dom</v>
          </cell>
          <cell r="G1111" t="str">
            <v>Core-Outlet</v>
          </cell>
          <cell r="H1111" t="str">
            <v>SG_04_01 Sun Glass Hut_Outlet_OWNED</v>
          </cell>
          <cell r="I1111" t="str">
            <v>0000004316 Rehoboth Beach Tanger Outlets</v>
          </cell>
          <cell r="J1111" t="str">
            <v>Outlet - Domestic</v>
          </cell>
          <cell r="K1111">
            <v>0</v>
          </cell>
        </row>
        <row r="1112">
          <cell r="C1112">
            <v>4343</v>
          </cell>
          <cell r="D1112" t="str">
            <v>Core</v>
          </cell>
          <cell r="E1112" t="str">
            <v>Outlet</v>
          </cell>
          <cell r="F1112" t="str">
            <v>Outlet - Loc</v>
          </cell>
          <cell r="G1112" t="str">
            <v>Core-Outlet</v>
          </cell>
          <cell r="H1112" t="str">
            <v>SG_04_01 Sun Glass Hut_Outlet_OWNED</v>
          </cell>
          <cell r="I1112" t="str">
            <v>0000004343 Jeffersonville Tanger Outlets</v>
          </cell>
          <cell r="J1112" t="str">
            <v>Outlet - Local</v>
          </cell>
          <cell r="K1112">
            <v>0</v>
          </cell>
        </row>
        <row r="1113">
          <cell r="C1113">
            <v>4345</v>
          </cell>
          <cell r="D1113" t="str">
            <v>Core</v>
          </cell>
          <cell r="E1113" t="str">
            <v>Outlet</v>
          </cell>
          <cell r="F1113" t="str">
            <v>Outlet - Intl</v>
          </cell>
          <cell r="G1113" t="str">
            <v>Core-Outlet</v>
          </cell>
          <cell r="H1113" t="str">
            <v>SG_04_01 Sun Glass Hut_Outlet_OWNED</v>
          </cell>
          <cell r="I1113" t="str">
            <v>0000004345 Orlando Premium Outlets - Vine</v>
          </cell>
          <cell r="J1113" t="str">
            <v>Outlet - International</v>
          </cell>
          <cell r="K1113" t="str">
            <v>Top Tier</v>
          </cell>
        </row>
        <row r="1114">
          <cell r="C1114">
            <v>4346</v>
          </cell>
          <cell r="D1114" t="str">
            <v>Core</v>
          </cell>
          <cell r="E1114" t="str">
            <v>Outlet</v>
          </cell>
          <cell r="F1114" t="str">
            <v>Outlet - Dom</v>
          </cell>
          <cell r="G1114" t="str">
            <v>Core-Outlet</v>
          </cell>
          <cell r="H1114" t="str">
            <v>SG_04_01 Sun Glass Hut_Outlet_OWNED</v>
          </cell>
          <cell r="I1114" t="str">
            <v>0000004346 Wrentham Village Premium Outle</v>
          </cell>
          <cell r="J1114" t="str">
            <v>Outlet - Domestic</v>
          </cell>
          <cell r="K1114">
            <v>0</v>
          </cell>
        </row>
        <row r="1115">
          <cell r="C1115">
            <v>4347</v>
          </cell>
          <cell r="D1115" t="str">
            <v>Core</v>
          </cell>
          <cell r="E1115" t="str">
            <v>Outlet</v>
          </cell>
          <cell r="F1115" t="str">
            <v>Outlet - Loc</v>
          </cell>
          <cell r="G1115" t="str">
            <v>Core-Outlet</v>
          </cell>
          <cell r="H1115" t="str">
            <v>SG_04_01 Sun Glass Hut_Outlet_OWNED</v>
          </cell>
          <cell r="I1115" t="str">
            <v>0000004347 Freeport Village Station</v>
          </cell>
          <cell r="J1115" t="str">
            <v>Outlet - Local</v>
          </cell>
          <cell r="K1115">
            <v>0</v>
          </cell>
        </row>
        <row r="1116">
          <cell r="C1116">
            <v>4348</v>
          </cell>
          <cell r="D1116" t="str">
            <v>Core</v>
          </cell>
          <cell r="E1116" t="str">
            <v>Outlet</v>
          </cell>
          <cell r="F1116" t="str">
            <v>Outlet - Intl</v>
          </cell>
          <cell r="G1116" t="str">
            <v>Core-Outlet</v>
          </cell>
          <cell r="H1116" t="str">
            <v>SG_04_01 Sun Glass Hut_Outlet_OWNED</v>
          </cell>
          <cell r="I1116" t="str">
            <v>0000004348 Miromar Outlets</v>
          </cell>
          <cell r="J1116" t="str">
            <v>Outlet - International</v>
          </cell>
          <cell r="K1116">
            <v>0</v>
          </cell>
        </row>
        <row r="1117">
          <cell r="C1117">
            <v>4351</v>
          </cell>
          <cell r="D1117" t="str">
            <v>Core</v>
          </cell>
          <cell r="E1117" t="str">
            <v>Outlet</v>
          </cell>
          <cell r="F1117" t="str">
            <v>Outlet - Loc</v>
          </cell>
          <cell r="G1117" t="str">
            <v>Core-Outlet</v>
          </cell>
          <cell r="H1117" t="str">
            <v>SG_04_01 Sun Glass Hut_Outlet_OWNED</v>
          </cell>
          <cell r="I1117" t="str">
            <v>0000004351 Vero Beach Fashion Outlets</v>
          </cell>
          <cell r="J1117" t="str">
            <v>Outlet - Local</v>
          </cell>
          <cell r="K1117">
            <v>0</v>
          </cell>
        </row>
        <row r="1118">
          <cell r="C1118">
            <v>4360</v>
          </cell>
          <cell r="D1118" t="str">
            <v>Core</v>
          </cell>
          <cell r="E1118" t="str">
            <v>Outlet</v>
          </cell>
          <cell r="F1118" t="str">
            <v>Outlet - Intl</v>
          </cell>
          <cell r="G1118" t="str">
            <v>Core-Outlet</v>
          </cell>
          <cell r="H1118" t="str">
            <v>SG_04_01 Sun Glass Hut_Outlet_OWNED</v>
          </cell>
          <cell r="I1118" t="str">
            <v>0000004360 Las Americas Premium Outlets</v>
          </cell>
          <cell r="J1118" t="str">
            <v>Outlet - International</v>
          </cell>
          <cell r="K1118">
            <v>0</v>
          </cell>
        </row>
        <row r="1119">
          <cell r="C1119">
            <v>4362</v>
          </cell>
          <cell r="D1119" t="str">
            <v>Core</v>
          </cell>
          <cell r="E1119" t="str">
            <v>Outlet</v>
          </cell>
          <cell r="F1119" t="str">
            <v>Outlet - Dom</v>
          </cell>
          <cell r="G1119" t="str">
            <v>Core-Outlet</v>
          </cell>
          <cell r="H1119" t="str">
            <v>SG_04_01 Sun Glass Hut_Outlet_OWNED</v>
          </cell>
          <cell r="I1119" t="str">
            <v>0000004362 Legends Outlets</v>
          </cell>
          <cell r="J1119" t="str">
            <v>Outlet - Domestic</v>
          </cell>
          <cell r="K1119">
            <v>0</v>
          </cell>
        </row>
        <row r="1120">
          <cell r="C1120">
            <v>4460</v>
          </cell>
          <cell r="D1120" t="str">
            <v>Core</v>
          </cell>
          <cell r="E1120" t="str">
            <v>Outlet</v>
          </cell>
          <cell r="F1120" t="str">
            <v>Outlet - Intl</v>
          </cell>
          <cell r="G1120" t="str">
            <v>Core-Outlet</v>
          </cell>
          <cell r="H1120" t="str">
            <v>SG_04_01 Sun Glass Hut_Outlet_OWNED</v>
          </cell>
          <cell r="I1120" t="str">
            <v>0000004460 Desert Hills Premium Outlets</v>
          </cell>
          <cell r="J1120" t="str">
            <v>Outlet - International</v>
          </cell>
          <cell r="K1120">
            <v>0</v>
          </cell>
        </row>
        <row r="1121">
          <cell r="C1121">
            <v>4461</v>
          </cell>
          <cell r="D1121" t="str">
            <v>Core</v>
          </cell>
          <cell r="E1121" t="str">
            <v>Outlet</v>
          </cell>
          <cell r="F1121" t="str">
            <v>Outlet - Intl</v>
          </cell>
          <cell r="G1121" t="str">
            <v>Core-Outlet</v>
          </cell>
          <cell r="H1121" t="str">
            <v>SG_04_01 Sun Glass Hut_Outlet_OWNED</v>
          </cell>
          <cell r="I1121" t="str">
            <v>0000004461 Desert Hills Premium Outlets</v>
          </cell>
          <cell r="J1121" t="str">
            <v>Outlet - International</v>
          </cell>
          <cell r="K1121" t="str">
            <v>Top Tier</v>
          </cell>
        </row>
        <row r="1122">
          <cell r="C1122">
            <v>4462</v>
          </cell>
          <cell r="D1122" t="str">
            <v>Core</v>
          </cell>
          <cell r="E1122" t="str">
            <v>Outlet</v>
          </cell>
          <cell r="F1122" t="str">
            <v>Outlet - Intl</v>
          </cell>
          <cell r="G1122" t="str">
            <v>Core-Outlet</v>
          </cell>
          <cell r="H1122" t="str">
            <v>SG_04_01 Sun Glass Hut_Outlet_OWNED</v>
          </cell>
          <cell r="I1122" t="str">
            <v>0000004462 Camarillo Premium Outlets</v>
          </cell>
          <cell r="J1122" t="str">
            <v>Outlet - International</v>
          </cell>
          <cell r="K1122">
            <v>0</v>
          </cell>
        </row>
        <row r="1123">
          <cell r="C1123">
            <v>4466</v>
          </cell>
          <cell r="D1123" t="str">
            <v>Core</v>
          </cell>
          <cell r="E1123" t="str">
            <v>Outlet</v>
          </cell>
          <cell r="F1123" t="str">
            <v>Outlet - Intl</v>
          </cell>
          <cell r="G1123" t="str">
            <v>Core-Outlet</v>
          </cell>
          <cell r="H1123" t="str">
            <v>SG_04_01 Sun Glass Hut_Outlet_OWNED</v>
          </cell>
          <cell r="I1123" t="str">
            <v>0000004466 Carlsbad Premium Outlets</v>
          </cell>
          <cell r="J1123" t="str">
            <v>Outlet - International</v>
          </cell>
          <cell r="K1123">
            <v>0</v>
          </cell>
        </row>
        <row r="1124">
          <cell r="C1124">
            <v>4529</v>
          </cell>
          <cell r="D1124" t="str">
            <v>Core</v>
          </cell>
          <cell r="E1124" t="str">
            <v>Outlet</v>
          </cell>
          <cell r="F1124" t="str">
            <v>Outlet - Loc</v>
          </cell>
          <cell r="G1124" t="str">
            <v>Core-Outlet</v>
          </cell>
          <cell r="H1124" t="str">
            <v>SG_04_01 Sun Glass Hut_Outlet_OWNED</v>
          </cell>
          <cell r="I1124" t="str">
            <v>0000004529 The Outlet Collection at Seatt</v>
          </cell>
          <cell r="J1124" t="str">
            <v>Outlet - Local</v>
          </cell>
          <cell r="K1124">
            <v>0</v>
          </cell>
        </row>
        <row r="1125">
          <cell r="C1125">
            <v>4544</v>
          </cell>
          <cell r="D1125" t="str">
            <v>Core</v>
          </cell>
          <cell r="E1125" t="str">
            <v>Outlet</v>
          </cell>
          <cell r="F1125" t="str">
            <v>Outlet - Dom</v>
          </cell>
          <cell r="G1125" t="str">
            <v>Core-Outlet</v>
          </cell>
          <cell r="H1125" t="str">
            <v>SG_04_01 Sun Glass Hut_Outlet_OWNED</v>
          </cell>
          <cell r="I1125" t="str">
            <v>0000004544 Gilroy Premium Outlets</v>
          </cell>
          <cell r="J1125" t="str">
            <v>Outlet - Domestic</v>
          </cell>
          <cell r="K1125">
            <v>0</v>
          </cell>
        </row>
        <row r="1126">
          <cell r="C1126">
            <v>4615</v>
          </cell>
          <cell r="D1126" t="str">
            <v>Core</v>
          </cell>
          <cell r="E1126" t="str">
            <v>Outlet</v>
          </cell>
          <cell r="F1126" t="str">
            <v>Outlet - Loc</v>
          </cell>
          <cell r="G1126" t="str">
            <v>Core-Outlet</v>
          </cell>
          <cell r="H1126" t="str">
            <v>SG_04_01 Sun Glass Hut_Outlet_OWNED</v>
          </cell>
          <cell r="I1126" t="str">
            <v>0000004615 Franklin Mills</v>
          </cell>
          <cell r="J1126" t="str">
            <v>Outlet - Local</v>
          </cell>
          <cell r="K1126">
            <v>0</v>
          </cell>
        </row>
        <row r="1127">
          <cell r="C1127">
            <v>4618</v>
          </cell>
          <cell r="D1127" t="str">
            <v>Core</v>
          </cell>
          <cell r="E1127" t="str">
            <v>Outlet</v>
          </cell>
          <cell r="F1127" t="str">
            <v>Outlet - Intl</v>
          </cell>
          <cell r="G1127" t="str">
            <v>Core-Outlet</v>
          </cell>
          <cell r="H1127" t="str">
            <v>SG_04_01 Sun Glass Hut_Outlet_OWNED</v>
          </cell>
          <cell r="I1127" t="str">
            <v>0000004618 Sawgrass Mills</v>
          </cell>
          <cell r="J1127" t="str">
            <v>Outlet - International</v>
          </cell>
          <cell r="K1127" t="str">
            <v>Top Tier</v>
          </cell>
        </row>
        <row r="1128">
          <cell r="C1128">
            <v>4629</v>
          </cell>
          <cell r="D1128" t="str">
            <v>Core</v>
          </cell>
          <cell r="E1128" t="str">
            <v>Outlet</v>
          </cell>
          <cell r="F1128" t="str">
            <v>Outlet - Dom</v>
          </cell>
          <cell r="G1128" t="str">
            <v>Core-Outlet</v>
          </cell>
          <cell r="H1128" t="str">
            <v>SG_04_01 Sun Glass Hut_Outlet_OWNED</v>
          </cell>
          <cell r="I1128" t="str">
            <v>0000004629 Ellenton Premium Outlets</v>
          </cell>
          <cell r="J1128" t="str">
            <v>Outlet - Domestic</v>
          </cell>
          <cell r="K1128">
            <v>0</v>
          </cell>
        </row>
        <row r="1129">
          <cell r="C1129">
            <v>4633</v>
          </cell>
          <cell r="D1129" t="str">
            <v>Core</v>
          </cell>
          <cell r="E1129" t="str">
            <v>Outlet</v>
          </cell>
          <cell r="F1129" t="str">
            <v>Outlet - Dom</v>
          </cell>
          <cell r="G1129" t="str">
            <v>Core-Outlet</v>
          </cell>
          <cell r="H1129" t="str">
            <v>SG_04_01 Sun Glass Hut_Outlet_OWNED</v>
          </cell>
          <cell r="I1129" t="str">
            <v>0000004633 Ellenton Premium Outlets</v>
          </cell>
          <cell r="J1129" t="str">
            <v>Outlet - Domestic</v>
          </cell>
          <cell r="K1129">
            <v>0</v>
          </cell>
        </row>
        <row r="1130">
          <cell r="C1130">
            <v>4637</v>
          </cell>
          <cell r="D1130" t="str">
            <v>Core</v>
          </cell>
          <cell r="E1130" t="str">
            <v>Outlet</v>
          </cell>
          <cell r="F1130" t="str">
            <v>Outlet - Dom</v>
          </cell>
          <cell r="G1130" t="str">
            <v>Core-Outlet</v>
          </cell>
          <cell r="H1130" t="str">
            <v>SG_04_01 Sun Glass Hut_Outlet_OWNED</v>
          </cell>
          <cell r="I1130" t="str">
            <v>0000004637 North Georgia Premium Outlets</v>
          </cell>
          <cell r="J1130" t="str">
            <v>Outlet - Domestic</v>
          </cell>
          <cell r="K1130">
            <v>0</v>
          </cell>
        </row>
        <row r="1131">
          <cell r="C1131">
            <v>4649</v>
          </cell>
          <cell r="D1131" t="str">
            <v>Core</v>
          </cell>
          <cell r="E1131" t="str">
            <v>Outlet</v>
          </cell>
          <cell r="F1131" t="str">
            <v>Outlet - Intl</v>
          </cell>
          <cell r="G1131" t="str">
            <v>Core-Outlet</v>
          </cell>
          <cell r="H1131" t="str">
            <v>SG_04_01 Sun Glass Hut_Outlet_OWNED</v>
          </cell>
          <cell r="I1131" t="str">
            <v>0000004649 San Marcos Premium Outlets</v>
          </cell>
          <cell r="J1131" t="str">
            <v>Outlet - International</v>
          </cell>
          <cell r="K1131">
            <v>0</v>
          </cell>
        </row>
        <row r="1132">
          <cell r="C1132">
            <v>4652</v>
          </cell>
          <cell r="D1132" t="str">
            <v>Core</v>
          </cell>
          <cell r="E1132" t="str">
            <v>Outlet</v>
          </cell>
          <cell r="F1132" t="str">
            <v>Outlet - Dom</v>
          </cell>
          <cell r="G1132" t="str">
            <v>Core-Outlet</v>
          </cell>
          <cell r="H1132" t="str">
            <v>SG_04_01 Sun Glass Hut_Outlet_OWNED</v>
          </cell>
          <cell r="I1132" t="str">
            <v>0000004652 Outlets at Castle Rock</v>
          </cell>
          <cell r="J1132" t="str">
            <v>Outlet - Domestic</v>
          </cell>
          <cell r="K1132">
            <v>0</v>
          </cell>
        </row>
        <row r="1133">
          <cell r="C1133">
            <v>4665</v>
          </cell>
          <cell r="D1133" t="str">
            <v>Core</v>
          </cell>
          <cell r="E1133" t="str">
            <v>Outlet</v>
          </cell>
          <cell r="F1133" t="str">
            <v>Outlet - Dom</v>
          </cell>
          <cell r="G1133" t="str">
            <v>Core-Outlet</v>
          </cell>
          <cell r="H1133" t="str">
            <v>SG_04_01 Sun Glass Hut_Outlet_OWNED</v>
          </cell>
          <cell r="I1133" t="str">
            <v>0000004665 Grove City Premium Outlets</v>
          </cell>
          <cell r="J1133" t="str">
            <v>Outlet - Domestic</v>
          </cell>
          <cell r="K1133">
            <v>0</v>
          </cell>
        </row>
        <row r="1134">
          <cell r="C1134">
            <v>4666</v>
          </cell>
          <cell r="D1134" t="str">
            <v>Core</v>
          </cell>
          <cell r="E1134" t="str">
            <v>Outlet</v>
          </cell>
          <cell r="F1134" t="str">
            <v>Outlet - Loc</v>
          </cell>
          <cell r="G1134" t="str">
            <v>Core-Outlet</v>
          </cell>
          <cell r="H1134" t="str">
            <v>SG_04_01 Sun Glass Hut_Outlet_OWNED</v>
          </cell>
          <cell r="I1134" t="str">
            <v>0000004666 Outlets at Conroe</v>
          </cell>
          <cell r="J1134" t="str">
            <v>Outlet - Local</v>
          </cell>
          <cell r="K1134">
            <v>0</v>
          </cell>
        </row>
        <row r="1135">
          <cell r="C1135">
            <v>4675</v>
          </cell>
          <cell r="D1135" t="str">
            <v>Core</v>
          </cell>
          <cell r="E1135" t="str">
            <v>Outlet</v>
          </cell>
          <cell r="F1135" t="str">
            <v>Outlet - Loc</v>
          </cell>
          <cell r="G1135" t="str">
            <v>Core-Outlet</v>
          </cell>
          <cell r="H1135" t="str">
            <v>SG_04_01 Sun Glass Hut_Outlet_OWNED</v>
          </cell>
          <cell r="I1135" t="str">
            <v>0000004675 Outlets at Hillsboro</v>
          </cell>
          <cell r="J1135" t="str">
            <v>Outlet - Local</v>
          </cell>
          <cell r="K1135">
            <v>0</v>
          </cell>
        </row>
        <row r="1136">
          <cell r="C1136">
            <v>4678</v>
          </cell>
          <cell r="D1136" t="str">
            <v>Core</v>
          </cell>
          <cell r="E1136" t="str">
            <v>Outlet</v>
          </cell>
          <cell r="F1136" t="str">
            <v>Outlet - Dom</v>
          </cell>
          <cell r="G1136" t="str">
            <v>Core-Outlet</v>
          </cell>
          <cell r="H1136" t="str">
            <v>SG_04_01 Sun Glass Hut_Outlet_OWNED</v>
          </cell>
          <cell r="I1136" t="str">
            <v>0000004678 Outlets at Anthem</v>
          </cell>
          <cell r="J1136" t="str">
            <v>Outlet - Domestic</v>
          </cell>
          <cell r="K1136">
            <v>0</v>
          </cell>
        </row>
        <row r="1137">
          <cell r="C1137">
            <v>4685</v>
          </cell>
          <cell r="D1137" t="str">
            <v>Core</v>
          </cell>
          <cell r="E1137" t="str">
            <v>Outlet</v>
          </cell>
          <cell r="F1137" t="str">
            <v>Outlet - Dom</v>
          </cell>
          <cell r="G1137" t="str">
            <v>Core-Outlet</v>
          </cell>
          <cell r="H1137" t="str">
            <v>SG_04_01 Sun Glass Hut_Outlet_OWNED</v>
          </cell>
          <cell r="I1137" t="str">
            <v>0000004685 Gulfport Premium Outlets</v>
          </cell>
          <cell r="J1137" t="str">
            <v>Outlet - Domestic</v>
          </cell>
          <cell r="K1137">
            <v>0</v>
          </cell>
        </row>
        <row r="1138">
          <cell r="C1138">
            <v>4697</v>
          </cell>
          <cell r="D1138" t="str">
            <v>Core</v>
          </cell>
          <cell r="E1138" t="str">
            <v>Outlet</v>
          </cell>
          <cell r="F1138" t="str">
            <v>Outlet - Loc</v>
          </cell>
          <cell r="G1138" t="str">
            <v>Core-Outlet</v>
          </cell>
          <cell r="H1138" t="str">
            <v>SG_04_01 Sun Glass Hut_Outlet_OWNED</v>
          </cell>
          <cell r="I1138" t="str">
            <v>0000004697 Outlets at Castle Rock</v>
          </cell>
          <cell r="J1138" t="str">
            <v>Outlet - Local</v>
          </cell>
          <cell r="K1138">
            <v>0</v>
          </cell>
        </row>
        <row r="1139">
          <cell r="C1139">
            <v>4701</v>
          </cell>
          <cell r="D1139" t="str">
            <v>Core</v>
          </cell>
          <cell r="E1139" t="str">
            <v>Outlet</v>
          </cell>
          <cell r="F1139" t="str">
            <v>Outlet - Dom</v>
          </cell>
          <cell r="G1139" t="str">
            <v>Core-Outlet</v>
          </cell>
          <cell r="H1139" t="str">
            <v>SG_04_01 Sun Glass Hut_Outlet_OWNED</v>
          </cell>
          <cell r="I1139" t="str">
            <v>0000004701 Petaluma Village Premium Outle</v>
          </cell>
          <cell r="J1139" t="str">
            <v>Outlet - Domestic</v>
          </cell>
          <cell r="K1139">
            <v>0</v>
          </cell>
        </row>
        <row r="1140">
          <cell r="C1140">
            <v>4711</v>
          </cell>
          <cell r="D1140" t="str">
            <v>Core</v>
          </cell>
          <cell r="E1140" t="str">
            <v>Outlet</v>
          </cell>
          <cell r="F1140" t="str">
            <v>Outlet - Dom</v>
          </cell>
          <cell r="G1140" t="str">
            <v>Core-Outlet</v>
          </cell>
          <cell r="H1140" t="str">
            <v>SG_04_01 Sun Glass Hut_Outlet_OWNED</v>
          </cell>
          <cell r="I1140" t="str">
            <v>0000004711 Birch Run Premium Outlets</v>
          </cell>
          <cell r="J1140" t="str">
            <v>Outlet - Domestic</v>
          </cell>
          <cell r="K1140">
            <v>0</v>
          </cell>
        </row>
        <row r="1141">
          <cell r="C1141">
            <v>4717</v>
          </cell>
          <cell r="D1141" t="str">
            <v>Core</v>
          </cell>
          <cell r="E1141" t="str">
            <v>Outlet</v>
          </cell>
          <cell r="F1141" t="str">
            <v>Outlet - Intl</v>
          </cell>
          <cell r="G1141" t="str">
            <v>Core-Outlet</v>
          </cell>
          <cell r="H1141" t="str">
            <v>SG_04_01 Sun Glass Hut_Outlet_OWNED</v>
          </cell>
          <cell r="I1141" t="str">
            <v>0000004717 Woodbury Common Premium Outlet</v>
          </cell>
          <cell r="J1141" t="str">
            <v>Outlet - International</v>
          </cell>
          <cell r="K1141" t="str">
            <v>Top Tier</v>
          </cell>
        </row>
        <row r="1142">
          <cell r="C1142">
            <v>4719</v>
          </cell>
          <cell r="D1142" t="str">
            <v>Core</v>
          </cell>
          <cell r="E1142" t="str">
            <v>Outlet</v>
          </cell>
          <cell r="F1142" t="str">
            <v>Outlet - Dom</v>
          </cell>
          <cell r="G1142" t="str">
            <v>Core-Outlet</v>
          </cell>
          <cell r="H1142" t="str">
            <v>SG_04_01 Sun Glass Hut_Outlet_OWNED</v>
          </cell>
          <cell r="I1142" t="str">
            <v>0000004719 Hagerstown Premium Outlets</v>
          </cell>
          <cell r="J1142" t="str">
            <v>Outlet - Domestic</v>
          </cell>
          <cell r="K1142">
            <v>0</v>
          </cell>
        </row>
        <row r="1143">
          <cell r="C1143">
            <v>4728</v>
          </cell>
          <cell r="D1143" t="str">
            <v>Core</v>
          </cell>
          <cell r="E1143" t="str">
            <v>Outlet</v>
          </cell>
          <cell r="F1143" t="str">
            <v>Outlet - Intl</v>
          </cell>
          <cell r="G1143" t="str">
            <v>Core-Outlet</v>
          </cell>
          <cell r="H1143" t="str">
            <v>SG_04_01 Sun Glass Hut_Outlet_OWNED</v>
          </cell>
          <cell r="I1143" t="str">
            <v>0000004728 Leesburg Corner Prem Outlets</v>
          </cell>
          <cell r="J1143" t="str">
            <v>Outlet - International</v>
          </cell>
          <cell r="K1143" t="str">
            <v>Top Tier</v>
          </cell>
        </row>
        <row r="1144">
          <cell r="C1144">
            <v>4729</v>
          </cell>
          <cell r="D1144" t="str">
            <v>Core</v>
          </cell>
          <cell r="E1144" t="str">
            <v>Outlet</v>
          </cell>
          <cell r="F1144" t="str">
            <v>Outlet - Dom</v>
          </cell>
          <cell r="G1144" t="str">
            <v>Core-Outlet</v>
          </cell>
          <cell r="H1144" t="str">
            <v>SG_04_01 Sun Glass Hut_Outlet_OWNED</v>
          </cell>
          <cell r="I1144" t="str">
            <v>0000004729 Myrtle Beach Tanger Outlets</v>
          </cell>
          <cell r="J1144" t="str">
            <v>Outlet - Domestic</v>
          </cell>
          <cell r="K1144">
            <v>0</v>
          </cell>
        </row>
        <row r="1145">
          <cell r="C1145">
            <v>4730</v>
          </cell>
          <cell r="D1145" t="str">
            <v>Core</v>
          </cell>
          <cell r="E1145" t="str">
            <v>Outlet</v>
          </cell>
          <cell r="F1145" t="str">
            <v>Outlet - Dom</v>
          </cell>
          <cell r="G1145" t="str">
            <v>Core-Outlet</v>
          </cell>
          <cell r="H1145" t="str">
            <v>SG_04_01 Sun Glass Hut_Outlet_OWNED</v>
          </cell>
          <cell r="I1145" t="str">
            <v>0000004730 Woodburn Company Stores</v>
          </cell>
          <cell r="J1145" t="str">
            <v>Outlet - Domestic</v>
          </cell>
          <cell r="K1145" t="str">
            <v>Top Tier</v>
          </cell>
        </row>
        <row r="1146">
          <cell r="C1146">
            <v>4733</v>
          </cell>
          <cell r="D1146" t="str">
            <v>Core</v>
          </cell>
          <cell r="E1146" t="str">
            <v>Outlet</v>
          </cell>
          <cell r="F1146" t="str">
            <v>Outlet - Intl</v>
          </cell>
          <cell r="G1146" t="str">
            <v>Core-Outlet</v>
          </cell>
          <cell r="H1146" t="str">
            <v>SG_04_01 Sun Glass Hut_Outlet_OWNED</v>
          </cell>
          <cell r="I1146" t="str">
            <v>0000004733 Wrentham Village Premium Outle</v>
          </cell>
          <cell r="J1146" t="str">
            <v>Outlet - International</v>
          </cell>
          <cell r="K1146" t="str">
            <v>Top Tier</v>
          </cell>
        </row>
        <row r="1147">
          <cell r="C1147">
            <v>4738</v>
          </cell>
          <cell r="D1147" t="str">
            <v>Core</v>
          </cell>
          <cell r="E1147" t="str">
            <v>Outlet</v>
          </cell>
          <cell r="F1147" t="str">
            <v>Outlet - Intl</v>
          </cell>
          <cell r="G1147" t="str">
            <v>Core-Outlet</v>
          </cell>
          <cell r="H1147" t="str">
            <v>SG_04_01 Sun Glass Hut_Outlet_OWNED</v>
          </cell>
          <cell r="I1147" t="str">
            <v>0000004738 San Marcos Premium Outlets</v>
          </cell>
          <cell r="J1147" t="str">
            <v>Outlet - International</v>
          </cell>
          <cell r="K1147">
            <v>0</v>
          </cell>
        </row>
        <row r="1148">
          <cell r="C1148">
            <v>4739</v>
          </cell>
          <cell r="D1148" t="str">
            <v>Core</v>
          </cell>
          <cell r="E1148" t="str">
            <v>Outlet</v>
          </cell>
          <cell r="F1148" t="str">
            <v>Outlet - Intl</v>
          </cell>
          <cell r="G1148" t="str">
            <v>Core-Outlet</v>
          </cell>
          <cell r="H1148" t="str">
            <v>SG_04_01 Sun Glass Hut_Outlet_OWNED</v>
          </cell>
          <cell r="I1148" t="str">
            <v>0000004739 Miromar Outlets</v>
          </cell>
          <cell r="J1148" t="str">
            <v>Outlet - International</v>
          </cell>
          <cell r="K1148">
            <v>0</v>
          </cell>
        </row>
        <row r="1149">
          <cell r="C1149">
            <v>4742</v>
          </cell>
          <cell r="D1149" t="str">
            <v>Core</v>
          </cell>
          <cell r="E1149" t="str">
            <v>Outlet</v>
          </cell>
          <cell r="F1149" t="str">
            <v>Outlet - Loc</v>
          </cell>
          <cell r="G1149" t="str">
            <v>Core-Outlet</v>
          </cell>
          <cell r="H1149" t="str">
            <v>SG_04_01 Sun Glass Hut_Outlet_OWNED</v>
          </cell>
          <cell r="I1149" t="str">
            <v>0000004742 Florida Keys Outlet Center</v>
          </cell>
          <cell r="J1149" t="str">
            <v>Outlet - Local</v>
          </cell>
          <cell r="K1149">
            <v>0</v>
          </cell>
        </row>
        <row r="1150">
          <cell r="C1150">
            <v>4743</v>
          </cell>
          <cell r="D1150" t="str">
            <v>Core</v>
          </cell>
          <cell r="E1150" t="str">
            <v>Outlet</v>
          </cell>
          <cell r="F1150" t="str">
            <v>Outlet - Dom</v>
          </cell>
          <cell r="G1150" t="str">
            <v>Core-Outlet</v>
          </cell>
          <cell r="H1150" t="str">
            <v>SG_04_01 Sun Glass Hut_Outlet_OWNED</v>
          </cell>
          <cell r="I1150" t="str">
            <v>0000004743 Sevierville Tanger Outlets</v>
          </cell>
          <cell r="J1150" t="str">
            <v>Outlet - Domestic</v>
          </cell>
          <cell r="K1150">
            <v>0</v>
          </cell>
        </row>
        <row r="1151">
          <cell r="C1151">
            <v>4746</v>
          </cell>
          <cell r="D1151" t="str">
            <v>Core</v>
          </cell>
          <cell r="E1151" t="str">
            <v>Outlet</v>
          </cell>
          <cell r="F1151" t="str">
            <v>Outlet - Intl</v>
          </cell>
          <cell r="G1151" t="str">
            <v>Core-Outlet</v>
          </cell>
          <cell r="H1151" t="str">
            <v>SG_04_01 Sun Glass Hut_Outlet_OWNED</v>
          </cell>
          <cell r="I1151" t="str">
            <v>0000004746 Gilroy Premium Outlets</v>
          </cell>
          <cell r="J1151" t="str">
            <v>Outlet - International</v>
          </cell>
          <cell r="K1151">
            <v>0</v>
          </cell>
        </row>
        <row r="1152">
          <cell r="C1152">
            <v>4755</v>
          </cell>
          <cell r="D1152" t="str">
            <v>Core</v>
          </cell>
          <cell r="E1152" t="str">
            <v>Outlet</v>
          </cell>
          <cell r="F1152" t="str">
            <v>Outlet - Loc</v>
          </cell>
          <cell r="G1152" t="str">
            <v>Core-Outlet</v>
          </cell>
          <cell r="H1152" t="str">
            <v>SG_04_01 Sun Glass Hut_Outlet_OWNED</v>
          </cell>
          <cell r="I1152" t="str">
            <v>0000004755 Fashion Outlets of Santa Fe</v>
          </cell>
          <cell r="J1152" t="str">
            <v>Outlet - Local</v>
          </cell>
          <cell r="K1152">
            <v>0</v>
          </cell>
        </row>
        <row r="1153">
          <cell r="C1153">
            <v>4763</v>
          </cell>
          <cell r="D1153" t="str">
            <v>Core</v>
          </cell>
          <cell r="E1153" t="str">
            <v>Outlet</v>
          </cell>
          <cell r="F1153" t="str">
            <v>Outlet - Intl</v>
          </cell>
          <cell r="G1153" t="str">
            <v>Core-Outlet</v>
          </cell>
          <cell r="H1153" t="str">
            <v>SG_04_01 Sun Glass Hut_Outlet_OWNED</v>
          </cell>
          <cell r="I1153" t="str">
            <v>0000004763 Allen Premium Outlets</v>
          </cell>
          <cell r="J1153" t="str">
            <v>Outlet - International</v>
          </cell>
          <cell r="K1153" t="str">
            <v>Top Tier</v>
          </cell>
        </row>
        <row r="1154">
          <cell r="C1154">
            <v>4766</v>
          </cell>
          <cell r="D1154" t="str">
            <v>Core</v>
          </cell>
          <cell r="E1154" t="str">
            <v>Outlet</v>
          </cell>
          <cell r="F1154" t="str">
            <v>Outlet - Dom</v>
          </cell>
          <cell r="G1154" t="str">
            <v>Core-Outlet</v>
          </cell>
          <cell r="H1154" t="str">
            <v>SG_04_01 Sun Glass Hut_Outlet_OWNED</v>
          </cell>
          <cell r="I1154" t="str">
            <v>0000004766 Cabazon Outlets</v>
          </cell>
          <cell r="J1154" t="str">
            <v>Outlet - Domestic</v>
          </cell>
          <cell r="K1154">
            <v>0</v>
          </cell>
        </row>
        <row r="1155">
          <cell r="C1155">
            <v>4770</v>
          </cell>
          <cell r="D1155" t="str">
            <v>Core</v>
          </cell>
          <cell r="E1155" t="str">
            <v>Outlet</v>
          </cell>
          <cell r="F1155" t="str">
            <v>Outlet - Loc</v>
          </cell>
          <cell r="G1155" t="str">
            <v>Core-Outlet</v>
          </cell>
          <cell r="H1155" t="str">
            <v>SG_04_01 Sun Glass Hut_Outlet_OWNED</v>
          </cell>
          <cell r="I1155" t="str">
            <v>0000004770 The Crossings Premium Outlets</v>
          </cell>
          <cell r="J1155" t="str">
            <v>Outlet - Local</v>
          </cell>
          <cell r="K1155">
            <v>0</v>
          </cell>
        </row>
        <row r="1156">
          <cell r="C1156">
            <v>4774</v>
          </cell>
          <cell r="D1156" t="str">
            <v>Core</v>
          </cell>
          <cell r="E1156" t="str">
            <v>Outlet</v>
          </cell>
          <cell r="F1156" t="str">
            <v>Outlet - Loc</v>
          </cell>
          <cell r="G1156" t="str">
            <v>Core-Outlet</v>
          </cell>
          <cell r="H1156" t="str">
            <v>SG_04_01 Sun Glass Hut_Outlet_OWNED</v>
          </cell>
          <cell r="I1156" t="str">
            <v>0000004774 St Augustine Premium Outlets</v>
          </cell>
          <cell r="J1156" t="str">
            <v>Outlet - Local</v>
          </cell>
          <cell r="K1156">
            <v>0</v>
          </cell>
        </row>
        <row r="1157">
          <cell r="C1157">
            <v>4778</v>
          </cell>
          <cell r="D1157" t="str">
            <v>Core</v>
          </cell>
          <cell r="E1157" t="str">
            <v>Outlet</v>
          </cell>
          <cell r="F1157" t="str">
            <v>Outlet - Intl</v>
          </cell>
          <cell r="G1157" t="str">
            <v>Core-Outlet</v>
          </cell>
          <cell r="H1157" t="str">
            <v>SG_04_01 Sun Glass Hut_Outlet_OWNED</v>
          </cell>
          <cell r="I1157" t="str">
            <v>0000004778 Carlsbad Premium Outlets</v>
          </cell>
          <cell r="J1157" t="str">
            <v>Outlet - International</v>
          </cell>
          <cell r="K1157" t="str">
            <v>Top Tier</v>
          </cell>
        </row>
        <row r="1158">
          <cell r="C1158">
            <v>4779</v>
          </cell>
          <cell r="D1158" t="str">
            <v>Core</v>
          </cell>
          <cell r="E1158" t="str">
            <v>Outlet</v>
          </cell>
          <cell r="F1158" t="str">
            <v>Outlet - Intl</v>
          </cell>
          <cell r="G1158" t="str">
            <v>Core-Outlet</v>
          </cell>
          <cell r="H1158" t="str">
            <v>SG_04_01 Sun Glass Hut_Outlet_OWNED</v>
          </cell>
          <cell r="I1158" t="str">
            <v>0000004779 Las Americas Premium Outlets</v>
          </cell>
          <cell r="J1158" t="str">
            <v>Outlet - International</v>
          </cell>
          <cell r="K1158">
            <v>0</v>
          </cell>
        </row>
        <row r="1159">
          <cell r="C1159">
            <v>4923</v>
          </cell>
          <cell r="D1159" t="str">
            <v>Core</v>
          </cell>
          <cell r="E1159" t="str">
            <v>Outlet</v>
          </cell>
          <cell r="F1159" t="str">
            <v>Outlet - Intl</v>
          </cell>
          <cell r="G1159" t="str">
            <v>Core-Outlet</v>
          </cell>
          <cell r="H1159" t="str">
            <v>SG_04_01 Sun Glass Hut_Outlet_OWNED</v>
          </cell>
          <cell r="I1159" t="str">
            <v>0000004923 Dolphin Mall</v>
          </cell>
          <cell r="J1159" t="str">
            <v>Outlet - International</v>
          </cell>
          <cell r="K1159" t="str">
            <v>Top Tier</v>
          </cell>
        </row>
        <row r="1160">
          <cell r="C1160">
            <v>4928</v>
          </cell>
          <cell r="D1160" t="str">
            <v>Core</v>
          </cell>
          <cell r="E1160" t="str">
            <v>Outlet</v>
          </cell>
          <cell r="F1160" t="str">
            <v>Outlet - Intl</v>
          </cell>
          <cell r="G1160" t="str">
            <v>Core-Outlet</v>
          </cell>
          <cell r="H1160" t="str">
            <v>SG_04_01 Sun Glass Hut_Outlet_OWNED</v>
          </cell>
          <cell r="I1160" t="str">
            <v>0000004928 Houston Premium Outlets</v>
          </cell>
          <cell r="J1160" t="str">
            <v>Outlet - International</v>
          </cell>
          <cell r="K1160">
            <v>0</v>
          </cell>
        </row>
        <row r="1161">
          <cell r="C1161">
            <v>4929</v>
          </cell>
          <cell r="D1161" t="str">
            <v>Core</v>
          </cell>
          <cell r="E1161" t="str">
            <v>Outlet</v>
          </cell>
          <cell r="F1161" t="str">
            <v>Outlet - Dom</v>
          </cell>
          <cell r="G1161" t="str">
            <v>Core-Outlet</v>
          </cell>
          <cell r="H1161" t="str">
            <v>SG_04_01 Sun Glass Hut_Outlet_OWNED</v>
          </cell>
          <cell r="I1161" t="str">
            <v>0000004929 Round Rock Premium Outlets</v>
          </cell>
          <cell r="J1161" t="str">
            <v>Outlet - Domestic</v>
          </cell>
          <cell r="K1161">
            <v>0</v>
          </cell>
        </row>
        <row r="1162">
          <cell r="C1162">
            <v>4930</v>
          </cell>
          <cell r="D1162" t="str">
            <v>Core</v>
          </cell>
          <cell r="E1162" t="str">
            <v>Outlet</v>
          </cell>
          <cell r="F1162" t="str">
            <v>Outlet - Intl</v>
          </cell>
          <cell r="G1162" t="str">
            <v>Core-Outlet</v>
          </cell>
          <cell r="H1162" t="str">
            <v>SG_04_01 Sun Glass Hut_Outlet_OWNED</v>
          </cell>
          <cell r="I1162" t="str">
            <v>0000004930 Chicago Premium Outlets</v>
          </cell>
          <cell r="J1162" t="str">
            <v>Outlet - International</v>
          </cell>
          <cell r="K1162">
            <v>0</v>
          </cell>
        </row>
        <row r="1163">
          <cell r="C1163">
            <v>4932</v>
          </cell>
          <cell r="D1163" t="str">
            <v>Core</v>
          </cell>
          <cell r="E1163" t="str">
            <v>Outlet</v>
          </cell>
          <cell r="F1163" t="str">
            <v>Outlet - Intl</v>
          </cell>
          <cell r="G1163" t="str">
            <v>Core-Outlet</v>
          </cell>
          <cell r="H1163" t="str">
            <v>SG_04_01 Sun Glass Hut_Outlet_OWNED</v>
          </cell>
          <cell r="I1163" t="str">
            <v>0000004932 The Outlet Shoppes at El Paso</v>
          </cell>
          <cell r="J1163" t="str">
            <v>Outlet - International</v>
          </cell>
          <cell r="K1163">
            <v>0</v>
          </cell>
        </row>
        <row r="1164">
          <cell r="C1164">
            <v>4951</v>
          </cell>
          <cell r="D1164" t="str">
            <v>Core</v>
          </cell>
          <cell r="E1164" t="str">
            <v>Outlet</v>
          </cell>
          <cell r="F1164" t="str">
            <v>Outlet - Dom</v>
          </cell>
          <cell r="G1164" t="str">
            <v>Core-Outlet</v>
          </cell>
          <cell r="H1164" t="str">
            <v>SG_04_01 Sun Glass Hut_Outlet_OWNED</v>
          </cell>
          <cell r="I1164" t="str">
            <v>0000004951 Williamsburg Premium Outlets</v>
          </cell>
          <cell r="J1164" t="str">
            <v>Outlet - Domestic</v>
          </cell>
          <cell r="K1164">
            <v>0</v>
          </cell>
        </row>
        <row r="1165">
          <cell r="C1165">
            <v>5010</v>
          </cell>
          <cell r="D1165" t="str">
            <v>Core</v>
          </cell>
          <cell r="E1165" t="str">
            <v>Outlet</v>
          </cell>
          <cell r="F1165" t="str">
            <v>Outlet - Intl</v>
          </cell>
          <cell r="G1165" t="str">
            <v>Core-Outlet</v>
          </cell>
          <cell r="H1165" t="str">
            <v>SG_04_01 Sun Glass Hut_Outlet_OWNED</v>
          </cell>
          <cell r="I1165" t="str">
            <v>0000005010 Jersey Shore Premium Outlets</v>
          </cell>
          <cell r="J1165" t="str">
            <v>Outlet - International</v>
          </cell>
          <cell r="K1165" t="str">
            <v xml:space="preserve">Top Tier </v>
          </cell>
        </row>
        <row r="1166">
          <cell r="C1166">
            <v>5011</v>
          </cell>
          <cell r="D1166" t="str">
            <v>Core</v>
          </cell>
          <cell r="E1166" t="str">
            <v>Outlet</v>
          </cell>
          <cell r="F1166" t="str">
            <v>Outlet - Intl</v>
          </cell>
          <cell r="G1166" t="str">
            <v>Core-Outlet</v>
          </cell>
          <cell r="H1166" t="str">
            <v>SG_04_01 Sun Glass Hut_Outlet_OWNED</v>
          </cell>
          <cell r="I1166" t="str">
            <v>0000005011 Seattle Premium Outlets</v>
          </cell>
          <cell r="J1166" t="str">
            <v>Outlet - International</v>
          </cell>
          <cell r="K1166">
            <v>0</v>
          </cell>
        </row>
        <row r="1167">
          <cell r="C1167">
            <v>5030</v>
          </cell>
          <cell r="D1167" t="str">
            <v>Core</v>
          </cell>
          <cell r="E1167" t="str">
            <v>Outlet</v>
          </cell>
          <cell r="F1167" t="str">
            <v>Outlet - Loc</v>
          </cell>
          <cell r="G1167" t="str">
            <v>Core-Outlet</v>
          </cell>
          <cell r="H1167" t="str">
            <v>SG_04_01 Sun Glass Hut_Outlet_OWNED</v>
          </cell>
          <cell r="I1167" t="str">
            <v>0000005030 Washington Tanger Outlets</v>
          </cell>
          <cell r="J1167" t="str">
            <v>Outlet - Local</v>
          </cell>
          <cell r="K1167">
            <v>0</v>
          </cell>
        </row>
        <row r="1168">
          <cell r="C1168">
            <v>5051</v>
          </cell>
          <cell r="D1168" t="str">
            <v>Core</v>
          </cell>
          <cell r="E1168" t="str">
            <v>Outlet</v>
          </cell>
          <cell r="F1168" t="str">
            <v>Outlet - Dom</v>
          </cell>
          <cell r="G1168" t="str">
            <v>Core-Outlet</v>
          </cell>
          <cell r="H1168" t="str">
            <v>SG_04_01 Sun Glass Hut_Outlet_OWNED</v>
          </cell>
          <cell r="I1168" t="str">
            <v>0000005051 Round Rock Premium Outlets</v>
          </cell>
          <cell r="J1168" t="str">
            <v>Outlet - Domestic</v>
          </cell>
          <cell r="K1168">
            <v>0</v>
          </cell>
        </row>
        <row r="1169">
          <cell r="C1169">
            <v>5052</v>
          </cell>
          <cell r="D1169" t="str">
            <v>Core</v>
          </cell>
          <cell r="E1169" t="str">
            <v>Outlet</v>
          </cell>
          <cell r="F1169" t="str">
            <v>Outlet - Dom</v>
          </cell>
          <cell r="G1169" t="str">
            <v>Core-Outlet</v>
          </cell>
          <cell r="H1169" t="str">
            <v>SG_04_01 Sun Glass Hut_Outlet_OWNED</v>
          </cell>
          <cell r="I1169" t="str">
            <v>0000005052 Philadelphia Premium Outlets</v>
          </cell>
          <cell r="J1169" t="str">
            <v>Outlet - Domestic</v>
          </cell>
          <cell r="K1169">
            <v>0</v>
          </cell>
        </row>
        <row r="1170">
          <cell r="C1170">
            <v>5056</v>
          </cell>
          <cell r="D1170" t="str">
            <v>Core</v>
          </cell>
          <cell r="E1170" t="str">
            <v>Outlet</v>
          </cell>
          <cell r="F1170" t="str">
            <v>Outlet - Dom</v>
          </cell>
          <cell r="G1170" t="str">
            <v>Core-Outlet</v>
          </cell>
          <cell r="H1170" t="str">
            <v>SG_04_01 Sun Glass Hut_Outlet_OWNED</v>
          </cell>
          <cell r="I1170" t="str">
            <v>0000005056 Albertville Premium Outlets</v>
          </cell>
          <cell r="J1170" t="str">
            <v>Outlet - Domestic</v>
          </cell>
          <cell r="K1170">
            <v>0</v>
          </cell>
        </row>
        <row r="1171">
          <cell r="C1171">
            <v>5058</v>
          </cell>
          <cell r="D1171" t="str">
            <v>Core</v>
          </cell>
          <cell r="E1171" t="str">
            <v>Outlet</v>
          </cell>
          <cell r="F1171" t="str">
            <v>Outlet - Intl</v>
          </cell>
          <cell r="G1171" t="str">
            <v>Core-Outlet</v>
          </cell>
          <cell r="H1171" t="str">
            <v>SG_04_01 Sun Glass Hut_Outlet_OWNED</v>
          </cell>
          <cell r="I1171" t="str">
            <v>0000005058 Park City Tanger Outlets</v>
          </cell>
          <cell r="J1171" t="str">
            <v>Outlet - International</v>
          </cell>
          <cell r="K1171">
            <v>0</v>
          </cell>
        </row>
        <row r="1172">
          <cell r="C1172">
            <v>5060</v>
          </cell>
          <cell r="D1172" t="str">
            <v>Core</v>
          </cell>
          <cell r="E1172" t="str">
            <v>Outlet</v>
          </cell>
          <cell r="F1172" t="str">
            <v>Outlet - Dom</v>
          </cell>
          <cell r="G1172" t="str">
            <v>Core-Outlet</v>
          </cell>
          <cell r="H1172" t="str">
            <v>SG_04_01 Sun Glass Hut_Outlet_OWNED</v>
          </cell>
          <cell r="I1172" t="str">
            <v>0000005060 Charleston Tanger Outlets</v>
          </cell>
          <cell r="J1172" t="str">
            <v>Outlet - Domestic</v>
          </cell>
          <cell r="K1172">
            <v>0</v>
          </cell>
        </row>
        <row r="1173">
          <cell r="C1173">
            <v>5077</v>
          </cell>
          <cell r="D1173" t="str">
            <v>Core</v>
          </cell>
          <cell r="E1173" t="str">
            <v>Outlet</v>
          </cell>
          <cell r="F1173" t="str">
            <v>Outlet - Intl</v>
          </cell>
          <cell r="G1173" t="str">
            <v>Core-Outlet</v>
          </cell>
          <cell r="H1173" t="str">
            <v>SG_04_01 Sun Glass Hut_Outlet_OWNED</v>
          </cell>
          <cell r="I1173" t="str">
            <v>0000005077 Deer Park Tanger Outlets</v>
          </cell>
          <cell r="J1173" t="str">
            <v>Outlet - International</v>
          </cell>
          <cell r="K1173">
            <v>0</v>
          </cell>
        </row>
        <row r="1174">
          <cell r="C1174">
            <v>5138</v>
          </cell>
          <cell r="D1174" t="str">
            <v>Core</v>
          </cell>
          <cell r="E1174" t="str">
            <v>Outlet</v>
          </cell>
          <cell r="F1174" t="str">
            <v>Outlet - Loc</v>
          </cell>
          <cell r="G1174" t="str">
            <v>Core-Outlet</v>
          </cell>
          <cell r="H1174" t="str">
            <v>SG_04_01 Sun Glass Hut_Outlet_OWNED</v>
          </cell>
          <cell r="I1174" t="str">
            <v>0000005138 Great Mall of the Bay Area</v>
          </cell>
          <cell r="J1174" t="str">
            <v>Outlet - Local</v>
          </cell>
          <cell r="K1174">
            <v>0</v>
          </cell>
        </row>
        <row r="1175">
          <cell r="C1175">
            <v>5139</v>
          </cell>
          <cell r="D1175" t="str">
            <v>Core</v>
          </cell>
          <cell r="E1175" t="str">
            <v>Outlet</v>
          </cell>
          <cell r="F1175" t="str">
            <v>Outlet - Loc</v>
          </cell>
          <cell r="G1175" t="str">
            <v>Core-Outlet</v>
          </cell>
          <cell r="H1175" t="str">
            <v>SG_04_01 Sun Glass Hut_Outlet_OWNED</v>
          </cell>
          <cell r="I1175" t="str">
            <v>0000005139 Great Mall of the Bay Area</v>
          </cell>
          <cell r="J1175" t="str">
            <v>Outlet - Local</v>
          </cell>
          <cell r="K1175">
            <v>0</v>
          </cell>
        </row>
        <row r="1176">
          <cell r="C1176">
            <v>5157</v>
          </cell>
          <cell r="D1176" t="str">
            <v>Core</v>
          </cell>
          <cell r="E1176" t="str">
            <v>Outlet</v>
          </cell>
          <cell r="F1176" t="str">
            <v>Outlet - Loc</v>
          </cell>
          <cell r="G1176" t="str">
            <v>Core-Outlet</v>
          </cell>
          <cell r="H1176" t="str">
            <v>SG_04_01 Sun Glass Hut_Outlet_OWNED</v>
          </cell>
          <cell r="I1176" t="str">
            <v>0000005157 Carolina Premium Outlets</v>
          </cell>
          <cell r="J1176" t="str">
            <v>Outlet - Local</v>
          </cell>
          <cell r="K1176">
            <v>0</v>
          </cell>
        </row>
        <row r="1177">
          <cell r="C1177">
            <v>5158</v>
          </cell>
          <cell r="D1177" t="str">
            <v>Core</v>
          </cell>
          <cell r="E1177" t="str">
            <v>Outlet</v>
          </cell>
          <cell r="F1177" t="str">
            <v>Outlet - Loc</v>
          </cell>
          <cell r="G1177" t="str">
            <v>Core-Outlet</v>
          </cell>
          <cell r="H1177" t="str">
            <v>SG_04_01 Sun Glass Hut_Outlet_OWNED</v>
          </cell>
          <cell r="I1177" t="str">
            <v>0000005158 Liberty Village Premium Outlet</v>
          </cell>
          <cell r="J1177" t="str">
            <v>Outlet - Local</v>
          </cell>
          <cell r="K1177">
            <v>0</v>
          </cell>
        </row>
        <row r="1178">
          <cell r="C1178">
            <v>5234</v>
          </cell>
          <cell r="D1178" t="str">
            <v>Core</v>
          </cell>
          <cell r="E1178" t="str">
            <v>Outlet</v>
          </cell>
          <cell r="F1178" t="str">
            <v>Outlet - Dom</v>
          </cell>
          <cell r="G1178" t="str">
            <v>Core-Outlet</v>
          </cell>
          <cell r="H1178" t="str">
            <v>SG_04_01 Sun Glass Hut_Outlet_OWNED</v>
          </cell>
          <cell r="I1178" t="str">
            <v>0000005234 Rio Grande Valley Premium Outl</v>
          </cell>
          <cell r="J1178" t="str">
            <v>Outlet - Domestic</v>
          </cell>
          <cell r="K1178">
            <v>0</v>
          </cell>
        </row>
        <row r="1179">
          <cell r="C1179">
            <v>5249</v>
          </cell>
          <cell r="D1179" t="str">
            <v>Core</v>
          </cell>
          <cell r="E1179" t="str">
            <v>Outlet</v>
          </cell>
          <cell r="F1179" t="str">
            <v>Outlet - Loc</v>
          </cell>
          <cell r="G1179" t="str">
            <v>Core-Outlet</v>
          </cell>
          <cell r="H1179" t="str">
            <v>SG_04_01 Sun Glass Hut_Outlet_OWNED</v>
          </cell>
          <cell r="I1179" t="str">
            <v>0000005249 Arundel Mills</v>
          </cell>
          <cell r="J1179" t="str">
            <v>Outlet - Local</v>
          </cell>
          <cell r="K1179">
            <v>0</v>
          </cell>
        </row>
        <row r="1180">
          <cell r="C1180">
            <v>5250</v>
          </cell>
          <cell r="D1180" t="str">
            <v>Core</v>
          </cell>
          <cell r="E1180" t="str">
            <v>Outlet</v>
          </cell>
          <cell r="F1180" t="str">
            <v>Outlet - Loc</v>
          </cell>
          <cell r="G1180" t="str">
            <v>Core-Outlet</v>
          </cell>
          <cell r="H1180" t="str">
            <v>SG_04_01 Sun Glass Hut_Outlet_OWNED</v>
          </cell>
          <cell r="I1180" t="str">
            <v>0000005250 Aurora Farms Premium Outlets</v>
          </cell>
          <cell r="J1180" t="str">
            <v>Outlet - Local</v>
          </cell>
          <cell r="K1180">
            <v>0</v>
          </cell>
        </row>
        <row r="1181">
          <cell r="C1181">
            <v>5251</v>
          </cell>
          <cell r="D1181" t="str">
            <v>Core</v>
          </cell>
          <cell r="E1181" t="str">
            <v>Outlet</v>
          </cell>
          <cell r="F1181" t="str">
            <v>Outlet - Dom</v>
          </cell>
          <cell r="G1181" t="str">
            <v>Core-Outlet</v>
          </cell>
          <cell r="H1181" t="str">
            <v>SG_04_01 Sun Glass Hut_Outlet_OWNED</v>
          </cell>
          <cell r="I1181" t="str">
            <v>0000005251 Clinton Crossing Premium Outle</v>
          </cell>
          <cell r="J1181" t="str">
            <v>Outlet - Domestic</v>
          </cell>
          <cell r="K1181">
            <v>0</v>
          </cell>
        </row>
        <row r="1182">
          <cell r="C1182">
            <v>5301</v>
          </cell>
          <cell r="D1182" t="str">
            <v>Core</v>
          </cell>
          <cell r="E1182" t="str">
            <v>Outlet</v>
          </cell>
          <cell r="F1182" t="str">
            <v>Outlet - Dom</v>
          </cell>
          <cell r="G1182" t="str">
            <v>Core-Outlet</v>
          </cell>
          <cell r="H1182" t="str">
            <v>SG_04_01 Sun Glass Hut_Outlet_OWNED</v>
          </cell>
          <cell r="I1182" t="str">
            <v>0000005301 Wisconsin Dells Tanger Outlets</v>
          </cell>
          <cell r="J1182" t="str">
            <v>Outlet - Domestic</v>
          </cell>
          <cell r="K1182">
            <v>0</v>
          </cell>
        </row>
        <row r="1183">
          <cell r="C1183">
            <v>5312</v>
          </cell>
          <cell r="D1183" t="str">
            <v>Core</v>
          </cell>
          <cell r="E1183" t="str">
            <v>Outlet</v>
          </cell>
          <cell r="F1183" t="str">
            <v>Outlet - Intl</v>
          </cell>
          <cell r="G1183" t="str">
            <v>Core-Outlet</v>
          </cell>
          <cell r="H1183" t="str">
            <v>SG_04_01 Sun Glass Hut_Outlet_OWNED</v>
          </cell>
          <cell r="I1183" t="str">
            <v>0000005312 The Outlet Shoppes At El Paso</v>
          </cell>
          <cell r="J1183" t="str">
            <v>Outlet - International</v>
          </cell>
          <cell r="K1183">
            <v>0</v>
          </cell>
        </row>
        <row r="1184">
          <cell r="C1184">
            <v>5313</v>
          </cell>
          <cell r="D1184" t="str">
            <v>Core</v>
          </cell>
          <cell r="E1184" t="str">
            <v>Outlet</v>
          </cell>
          <cell r="F1184" t="str">
            <v>Outlet - Dom</v>
          </cell>
          <cell r="G1184" t="str">
            <v>Core-Outlet</v>
          </cell>
          <cell r="H1184" t="str">
            <v>SG_04_01 Sun Glass Hut_Outlet_OWNED</v>
          </cell>
          <cell r="I1184" t="str">
            <v>0000005313 The Outlets at Orange</v>
          </cell>
          <cell r="J1184" t="str">
            <v>Outlet - Domestic</v>
          </cell>
          <cell r="K1184">
            <v>0</v>
          </cell>
        </row>
        <row r="1185">
          <cell r="C1185">
            <v>5337</v>
          </cell>
          <cell r="D1185" t="str">
            <v>Core</v>
          </cell>
          <cell r="E1185" t="str">
            <v>Outlet</v>
          </cell>
          <cell r="F1185" t="str">
            <v>Outlet - Intl</v>
          </cell>
          <cell r="G1185" t="str">
            <v>Core-Outlet</v>
          </cell>
          <cell r="H1185" t="str">
            <v>SG_04_01 Sun Glass Hut_Outlet_OWNED</v>
          </cell>
          <cell r="I1185" t="str">
            <v>0000005337 Old San Juan Cristo St</v>
          </cell>
          <cell r="J1185" t="str">
            <v>Outlet - International</v>
          </cell>
          <cell r="K1185">
            <v>0</v>
          </cell>
        </row>
        <row r="1186">
          <cell r="C1186">
            <v>5341</v>
          </cell>
          <cell r="D1186" t="str">
            <v>Core</v>
          </cell>
          <cell r="E1186" t="str">
            <v>Outlet</v>
          </cell>
          <cell r="F1186" t="str">
            <v>Outlet - Intl</v>
          </cell>
          <cell r="G1186" t="str">
            <v>Core-Outlet</v>
          </cell>
          <cell r="H1186" t="str">
            <v>SG_04_01 Sun Glass Hut_Outlet_OWNED</v>
          </cell>
          <cell r="I1186" t="str">
            <v>0000005341 Barstow Tanger Outlets</v>
          </cell>
          <cell r="J1186" t="str">
            <v>Outlet - International</v>
          </cell>
          <cell r="K1186">
            <v>0</v>
          </cell>
        </row>
        <row r="1187">
          <cell r="C1187">
            <v>5348</v>
          </cell>
          <cell r="D1187" t="str">
            <v>Core</v>
          </cell>
          <cell r="E1187" t="str">
            <v>Outlet</v>
          </cell>
          <cell r="F1187" t="str">
            <v>Outlet - Dom</v>
          </cell>
          <cell r="G1187" t="str">
            <v>Core-Outlet</v>
          </cell>
          <cell r="H1187" t="str">
            <v>SG_04_01 Sun Glass Hut_Outlet_OWNED</v>
          </cell>
          <cell r="I1187" t="str">
            <v>0000005348 Riverhead Tanger Outlets</v>
          </cell>
          <cell r="J1187" t="str">
            <v>Outlet - Domestic</v>
          </cell>
          <cell r="K1187">
            <v>0</v>
          </cell>
        </row>
        <row r="1188">
          <cell r="C1188">
            <v>5368</v>
          </cell>
          <cell r="D1188" t="str">
            <v>Core</v>
          </cell>
          <cell r="E1188" t="str">
            <v>Outlet</v>
          </cell>
          <cell r="F1188" t="str">
            <v>Outlet - Loc</v>
          </cell>
          <cell r="G1188" t="str">
            <v>Core-Outlet</v>
          </cell>
          <cell r="H1188" t="str">
            <v>SG_04_01 Sun Glass Hut_Outlet_OWNED</v>
          </cell>
          <cell r="I1188" t="str">
            <v>0000005368 Lincoln City Tanger Outlets</v>
          </cell>
          <cell r="J1188" t="str">
            <v>Outlet - Local</v>
          </cell>
          <cell r="K1188">
            <v>0</v>
          </cell>
        </row>
        <row r="1189">
          <cell r="C1189">
            <v>5531</v>
          </cell>
          <cell r="D1189" t="str">
            <v>Core</v>
          </cell>
          <cell r="E1189" t="str">
            <v>Outlet</v>
          </cell>
          <cell r="F1189" t="str">
            <v>Outlet - Intl</v>
          </cell>
          <cell r="G1189" t="str">
            <v>Core-Outlet</v>
          </cell>
          <cell r="H1189" t="str">
            <v>SG_04_01 Sun Glass Hut_Outlet_OWNED</v>
          </cell>
          <cell r="I1189" t="str">
            <v>0000005531 Orlando Premium Outlets - Int'</v>
          </cell>
          <cell r="J1189" t="str">
            <v>Outlet - International</v>
          </cell>
          <cell r="K1189" t="str">
            <v>Top Tier</v>
          </cell>
        </row>
        <row r="1190">
          <cell r="C1190">
            <v>5681</v>
          </cell>
          <cell r="D1190" t="str">
            <v>Core</v>
          </cell>
          <cell r="E1190" t="str">
            <v>Outlet</v>
          </cell>
          <cell r="F1190" t="str">
            <v>Outlet - Dom</v>
          </cell>
          <cell r="G1190" t="str">
            <v>Core-Outlet</v>
          </cell>
          <cell r="H1190" t="str">
            <v>SG_04_01 Sun Glass Hut_Outlet_OWNED</v>
          </cell>
          <cell r="I1190" t="str">
            <v>0000005681 Mebane Tanger Outlets</v>
          </cell>
          <cell r="J1190" t="str">
            <v>Outlet - Domestic</v>
          </cell>
          <cell r="K1190">
            <v>0</v>
          </cell>
        </row>
        <row r="1191">
          <cell r="C1191">
            <v>5687</v>
          </cell>
          <cell r="D1191" t="str">
            <v>Core</v>
          </cell>
          <cell r="E1191" t="str">
            <v>Outlet</v>
          </cell>
          <cell r="F1191" t="str">
            <v>Outlet - Intl</v>
          </cell>
          <cell r="G1191" t="str">
            <v>Core-Outlet</v>
          </cell>
          <cell r="H1191" t="str">
            <v>SG_04_01 Sun Glass Hut_Outlet_OWNED</v>
          </cell>
          <cell r="I1191" t="str">
            <v>0000005687 Houston Premium Outlets</v>
          </cell>
          <cell r="J1191" t="str">
            <v>Outlet - International</v>
          </cell>
          <cell r="K1191">
            <v>0</v>
          </cell>
        </row>
        <row r="1192">
          <cell r="C1192">
            <v>5689</v>
          </cell>
          <cell r="D1192" t="str">
            <v>Core</v>
          </cell>
          <cell r="E1192" t="str">
            <v>Outlet</v>
          </cell>
          <cell r="F1192" t="str">
            <v>Outlet - Loc</v>
          </cell>
          <cell r="G1192" t="str">
            <v>Core-Outlet</v>
          </cell>
          <cell r="H1192" t="str">
            <v>SG_04_01 Sun Glass Hut_Outlet_OWNED</v>
          </cell>
          <cell r="I1192" t="str">
            <v>0000005689 The Outlet Shoppes at Oklahoma</v>
          </cell>
          <cell r="J1192" t="str">
            <v>Outlet - Local</v>
          </cell>
          <cell r="K1192">
            <v>0</v>
          </cell>
        </row>
        <row r="1193">
          <cell r="C1193">
            <v>5705</v>
          </cell>
          <cell r="D1193" t="str">
            <v>Core</v>
          </cell>
          <cell r="E1193" t="str">
            <v>Outlet</v>
          </cell>
          <cell r="F1193" t="str">
            <v>Outlet - Dom</v>
          </cell>
          <cell r="G1193" t="str">
            <v>Core-Outlet</v>
          </cell>
          <cell r="H1193" t="str">
            <v>SG_04_01 Sun Glass Hut_Outlet_OWNED</v>
          </cell>
          <cell r="I1193" t="str">
            <v>0000005705 Cincinnati Premium Outlets</v>
          </cell>
          <cell r="J1193" t="str">
            <v>Outlet - Domestic</v>
          </cell>
          <cell r="K1193">
            <v>0</v>
          </cell>
        </row>
        <row r="1194">
          <cell r="C1194">
            <v>5707</v>
          </cell>
          <cell r="D1194" t="str">
            <v>Core</v>
          </cell>
          <cell r="E1194" t="str">
            <v>Outlet</v>
          </cell>
          <cell r="F1194" t="str">
            <v>Outlet - Intl</v>
          </cell>
          <cell r="G1194" t="str">
            <v>Core-Outlet</v>
          </cell>
          <cell r="H1194" t="str">
            <v>SG_04_01 Sun Glass Hut_Outlet_OWNED</v>
          </cell>
          <cell r="I1194" t="str">
            <v>0000005707 Orlando Premium Outlets - Vine</v>
          </cell>
          <cell r="J1194" t="str">
            <v>Outlet - International</v>
          </cell>
          <cell r="K1194" t="str">
            <v>Top Tier</v>
          </cell>
        </row>
        <row r="1195">
          <cell r="C1195">
            <v>5756</v>
          </cell>
          <cell r="D1195" t="str">
            <v>Core</v>
          </cell>
          <cell r="E1195" t="str">
            <v>Outlet</v>
          </cell>
          <cell r="F1195" t="str">
            <v>Outlet - Dom</v>
          </cell>
          <cell r="G1195" t="str">
            <v>Core-Outlet</v>
          </cell>
          <cell r="H1195" t="str">
            <v>SG_04_01 Sun Glass Hut_Outlet_OWNED</v>
          </cell>
          <cell r="I1195" t="str">
            <v>0000005756 Grand Prairie Premium Outlets</v>
          </cell>
          <cell r="J1195" t="str">
            <v>Outlet - Domestic</v>
          </cell>
          <cell r="K1195">
            <v>0</v>
          </cell>
        </row>
        <row r="1196">
          <cell r="C1196">
            <v>5757</v>
          </cell>
          <cell r="D1196" t="str">
            <v>Core</v>
          </cell>
          <cell r="E1196" t="str">
            <v>Outlet</v>
          </cell>
          <cell r="F1196" t="str">
            <v>Outlet - Intl</v>
          </cell>
          <cell r="G1196" t="str">
            <v>Core-Outlet</v>
          </cell>
          <cell r="H1196" t="str">
            <v>SG_04_01 Sun Glass Hut_Outlet_OWNED</v>
          </cell>
          <cell r="I1196" t="str">
            <v>0000005757 Las Vegas Premium Outlets Sout</v>
          </cell>
          <cell r="J1196" t="str">
            <v>Outlet - International</v>
          </cell>
          <cell r="K1196" t="str">
            <v>Top Tier</v>
          </cell>
        </row>
        <row r="1197">
          <cell r="C1197">
            <v>5760</v>
          </cell>
          <cell r="D1197" t="str">
            <v>Core</v>
          </cell>
          <cell r="E1197" t="str">
            <v>Outlet</v>
          </cell>
          <cell r="F1197" t="str">
            <v>Outlet - Intl</v>
          </cell>
          <cell r="G1197" t="str">
            <v>Core-Outlet</v>
          </cell>
          <cell r="H1197" t="str">
            <v>SG_04_01 Sun Glass Hut_Outlet_OWNED</v>
          </cell>
          <cell r="I1197" t="str">
            <v>0000005760 Seattle Premium Outlets</v>
          </cell>
          <cell r="J1197" t="str">
            <v>Outlet - International</v>
          </cell>
          <cell r="K1197">
            <v>0</v>
          </cell>
        </row>
        <row r="1198">
          <cell r="C1198">
            <v>5809</v>
          </cell>
          <cell r="D1198" t="str">
            <v>Core</v>
          </cell>
          <cell r="E1198" t="str">
            <v>Outlet</v>
          </cell>
          <cell r="F1198" t="str">
            <v>Outlet - Intl</v>
          </cell>
          <cell r="G1198" t="str">
            <v>Core-Outlet</v>
          </cell>
          <cell r="H1198" t="str">
            <v>SG_04_01 Sun Glass Hut_Outlet_OWNED</v>
          </cell>
          <cell r="I1198" t="str">
            <v>0000005809 Orlando Premium Outlets - Int'</v>
          </cell>
          <cell r="J1198" t="str">
            <v>Outlet - International</v>
          </cell>
          <cell r="K1198" t="str">
            <v>Top Tier</v>
          </cell>
        </row>
        <row r="1199">
          <cell r="C1199">
            <v>5810</v>
          </cell>
          <cell r="D1199" t="str">
            <v>Core</v>
          </cell>
          <cell r="E1199" t="str">
            <v>Outlet</v>
          </cell>
          <cell r="F1199" t="str">
            <v>Outlet - Dom</v>
          </cell>
          <cell r="G1199" t="str">
            <v>Core-Outlet</v>
          </cell>
          <cell r="H1199" t="str">
            <v>SG_04_01 Sun Glass Hut_Outlet_OWNED</v>
          </cell>
          <cell r="I1199" t="str">
            <v>0000005810 Rio Grande Vallley Premium Out</v>
          </cell>
          <cell r="J1199" t="str">
            <v>Outlet - Domestic</v>
          </cell>
          <cell r="K1199">
            <v>0</v>
          </cell>
        </row>
        <row r="1200">
          <cell r="C1200">
            <v>5815</v>
          </cell>
          <cell r="D1200" t="str">
            <v>Core</v>
          </cell>
          <cell r="E1200" t="str">
            <v>Outlet</v>
          </cell>
          <cell r="F1200" t="str">
            <v>Outlet - Loc</v>
          </cell>
          <cell r="G1200" t="str">
            <v>Core-Outlet</v>
          </cell>
          <cell r="H1200" t="str">
            <v>SG_04_01 Sun Glass Hut_Outlet_OWNED</v>
          </cell>
          <cell r="I1200" t="str">
            <v>0000005815 Gonzales Tanger Outlets</v>
          </cell>
          <cell r="J1200" t="str">
            <v>Outlet - Local</v>
          </cell>
          <cell r="K1200">
            <v>0</v>
          </cell>
        </row>
        <row r="1201">
          <cell r="C1201">
            <v>6075</v>
          </cell>
          <cell r="D1201" t="str">
            <v>Core</v>
          </cell>
          <cell r="E1201" t="str">
            <v>Outlet</v>
          </cell>
          <cell r="F1201" t="str">
            <v>Outlet - Intl</v>
          </cell>
          <cell r="G1201" t="str">
            <v>Core-Outlet</v>
          </cell>
          <cell r="H1201" t="str">
            <v>SG_04_01 Sun Glass Hut_Outlet_OWNED</v>
          </cell>
          <cell r="I1201" t="str">
            <v>0000006075 Orlando Premium Outlets - Int'</v>
          </cell>
          <cell r="J1201" t="str">
            <v>Outlet - International</v>
          </cell>
          <cell r="K1201" t="str">
            <v>Top Tier</v>
          </cell>
        </row>
        <row r="1202">
          <cell r="C1202">
            <v>6088</v>
          </cell>
          <cell r="D1202" t="str">
            <v>Core</v>
          </cell>
          <cell r="E1202" t="str">
            <v>Outlet</v>
          </cell>
          <cell r="F1202" t="str">
            <v>Outlet - Dom</v>
          </cell>
          <cell r="G1202" t="str">
            <v>Core-Outlet</v>
          </cell>
          <cell r="H1202" t="str">
            <v>SG_04_01 Sun Glass Hut_Outlet_OWNED</v>
          </cell>
          <cell r="I1202" t="str">
            <v>0000006088 Miromar Outlets</v>
          </cell>
          <cell r="J1202" t="str">
            <v>Outlet - Domestic</v>
          </cell>
          <cell r="K1202">
            <v>0</v>
          </cell>
        </row>
        <row r="1203">
          <cell r="C1203">
            <v>6133</v>
          </cell>
          <cell r="D1203" t="str">
            <v>Core</v>
          </cell>
          <cell r="E1203" t="str">
            <v>Outlet</v>
          </cell>
          <cell r="F1203" t="str">
            <v>Outlet - Dom</v>
          </cell>
          <cell r="G1203" t="str">
            <v>Core-Outlet</v>
          </cell>
          <cell r="H1203" t="str">
            <v>SG_04_01 Sun Glass Hut_Outlet_OWNED</v>
          </cell>
          <cell r="I1203" t="str">
            <v>0000006133 Hilton Head I Tanger Outlets</v>
          </cell>
          <cell r="J1203" t="str">
            <v>Outlet - Domestic</v>
          </cell>
          <cell r="K1203">
            <v>0</v>
          </cell>
        </row>
        <row r="1204">
          <cell r="C1204">
            <v>6134</v>
          </cell>
          <cell r="D1204" t="str">
            <v>Core</v>
          </cell>
          <cell r="E1204" t="str">
            <v>Outlet</v>
          </cell>
          <cell r="F1204" t="str">
            <v>Outlet - Intl</v>
          </cell>
          <cell r="G1204" t="str">
            <v>Core-Outlet</v>
          </cell>
          <cell r="H1204" t="str">
            <v>SG_04_01 Sun Glass Hut_Outlet_OWNED</v>
          </cell>
          <cell r="I1204" t="str">
            <v>0000006134 Livermore Valley Paragon Outle</v>
          </cell>
          <cell r="J1204" t="str">
            <v>Outlet - International</v>
          </cell>
          <cell r="K1204">
            <v>0</v>
          </cell>
        </row>
        <row r="1205">
          <cell r="C1205">
            <v>6136</v>
          </cell>
          <cell r="D1205" t="str">
            <v>Core</v>
          </cell>
          <cell r="E1205" t="str">
            <v>Outlet</v>
          </cell>
          <cell r="F1205" t="str">
            <v>Outlet - Intl</v>
          </cell>
          <cell r="G1205" t="str">
            <v>Core-Outlet</v>
          </cell>
          <cell r="H1205" t="str">
            <v>SG_04_01 Sun Glass Hut_Outlet_OWNED</v>
          </cell>
          <cell r="I1205" t="str">
            <v>0000006136 Sawgrass Mills</v>
          </cell>
          <cell r="J1205" t="str">
            <v>Outlet - International</v>
          </cell>
          <cell r="K1205" t="str">
            <v>Top Tier</v>
          </cell>
        </row>
        <row r="1206">
          <cell r="C1206">
            <v>2386</v>
          </cell>
          <cell r="D1206" t="str">
            <v>Macy</v>
          </cell>
          <cell r="E1206" t="str">
            <v>Full Staff</v>
          </cell>
          <cell r="F1206" t="str">
            <v>Macys - VT2</v>
          </cell>
          <cell r="G1206" t="str">
            <v>Macy</v>
          </cell>
          <cell r="H1206" t="str">
            <v>SG_05_01 Sun Glass Hut_Macys FS_OWNED</v>
          </cell>
          <cell r="I1206" t="str">
            <v>0000002386 Herald Square Lower Level - Ma</v>
          </cell>
          <cell r="J1206" t="str">
            <v>Department - VT2</v>
          </cell>
          <cell r="K1206">
            <v>0</v>
          </cell>
        </row>
        <row r="1207">
          <cell r="C1207">
            <v>2503</v>
          </cell>
          <cell r="D1207" t="str">
            <v>Macy</v>
          </cell>
          <cell r="E1207" t="str">
            <v>Full Staff</v>
          </cell>
          <cell r="F1207" t="str">
            <v>Macys - VT3</v>
          </cell>
          <cell r="G1207" t="str">
            <v>Macy</v>
          </cell>
          <cell r="H1207" t="str">
            <v>SG_05_01 Sun Glass Hut_Macys FS_OWNED</v>
          </cell>
          <cell r="I1207" t="str">
            <v>0000002503 Burnsville Center - Macy's</v>
          </cell>
          <cell r="J1207" t="str">
            <v>Department - VT3</v>
          </cell>
          <cell r="K1207">
            <v>0</v>
          </cell>
        </row>
        <row r="1208">
          <cell r="C1208">
            <v>2506</v>
          </cell>
          <cell r="D1208" t="str">
            <v>Macy</v>
          </cell>
          <cell r="E1208" t="str">
            <v>Full Staff</v>
          </cell>
          <cell r="F1208" t="str">
            <v>Macys - VT3</v>
          </cell>
          <cell r="G1208" t="str">
            <v>Macy</v>
          </cell>
          <cell r="H1208" t="str">
            <v>SG_05_01 Sun Glass Hut_Macys FS_OWNED</v>
          </cell>
          <cell r="I1208" t="str">
            <v>0000002506 Fox River Mall - Macy's</v>
          </cell>
          <cell r="J1208" t="str">
            <v>Department - VT3</v>
          </cell>
          <cell r="K1208">
            <v>0</v>
          </cell>
        </row>
        <row r="1209">
          <cell r="C1209">
            <v>2510</v>
          </cell>
          <cell r="D1209" t="str">
            <v>Macy</v>
          </cell>
          <cell r="E1209" t="str">
            <v>Full Staff</v>
          </cell>
          <cell r="F1209" t="str">
            <v>Macys - VT2</v>
          </cell>
          <cell r="G1209" t="str">
            <v>Macy</v>
          </cell>
          <cell r="H1209" t="str">
            <v>SG_05_01 Sun Glass Hut_Macys FS_OWNED</v>
          </cell>
          <cell r="I1209" t="str">
            <v>0000002510 Downtown Minneapolis - Macy's</v>
          </cell>
          <cell r="J1209" t="str">
            <v>Department - VT2</v>
          </cell>
          <cell r="K1209">
            <v>0</v>
          </cell>
        </row>
        <row r="1210">
          <cell r="C1210">
            <v>2511</v>
          </cell>
          <cell r="D1210" t="str">
            <v>Macy</v>
          </cell>
          <cell r="E1210" t="str">
            <v>Full Staff</v>
          </cell>
          <cell r="F1210" t="str">
            <v>Macys - VT2</v>
          </cell>
          <cell r="G1210" t="str">
            <v>Macy</v>
          </cell>
          <cell r="H1210" t="str">
            <v>SG_05_01 Sun Glass Hut_Macys FS_OWNED</v>
          </cell>
          <cell r="I1210" t="str">
            <v>0000002511 Ridgedale Center - Macy's</v>
          </cell>
          <cell r="J1210" t="str">
            <v>Department - VT2</v>
          </cell>
          <cell r="K1210">
            <v>0</v>
          </cell>
        </row>
        <row r="1211">
          <cell r="C1211">
            <v>2514</v>
          </cell>
          <cell r="D1211" t="str">
            <v>Macy</v>
          </cell>
          <cell r="E1211" t="str">
            <v>Full Staff</v>
          </cell>
          <cell r="F1211" t="str">
            <v>Macys - VT3</v>
          </cell>
          <cell r="G1211" t="str">
            <v>Macy</v>
          </cell>
          <cell r="H1211" t="str">
            <v>SG_05_01 Sun Glass Hut_Macys FS_OWNED</v>
          </cell>
          <cell r="I1211" t="str">
            <v>0000002514 Rosedale Center - Macy's</v>
          </cell>
          <cell r="J1211" t="str">
            <v>Department - VT3</v>
          </cell>
          <cell r="K1211">
            <v>0</v>
          </cell>
        </row>
        <row r="1212">
          <cell r="C1212">
            <v>2518</v>
          </cell>
          <cell r="D1212" t="str">
            <v>Macy</v>
          </cell>
          <cell r="E1212" t="str">
            <v>Full Staff</v>
          </cell>
          <cell r="F1212" t="str">
            <v>Macys - VT1</v>
          </cell>
          <cell r="G1212" t="str">
            <v>Macy</v>
          </cell>
          <cell r="H1212" t="str">
            <v>SG_05_01 Sun Glass Hut_Macys FS_OWNED</v>
          </cell>
          <cell r="I1212" t="str">
            <v>0000002518 Southdale Center - Macy's</v>
          </cell>
          <cell r="J1212" t="str">
            <v>Department - VT1</v>
          </cell>
          <cell r="K1212">
            <v>0</v>
          </cell>
        </row>
        <row r="1213">
          <cell r="C1213">
            <v>2566</v>
          </cell>
          <cell r="D1213" t="str">
            <v>Macy</v>
          </cell>
          <cell r="E1213" t="str">
            <v>Full Staff</v>
          </cell>
          <cell r="F1213" t="str">
            <v>Macys - VT3</v>
          </cell>
          <cell r="G1213" t="str">
            <v>Macy</v>
          </cell>
          <cell r="H1213" t="str">
            <v>SG_05_01 Sun Glass Hut_Macys FS_OWNED</v>
          </cell>
          <cell r="I1213" t="str">
            <v>0000002566 Southridge Mall - Macy's</v>
          </cell>
          <cell r="J1213" t="str">
            <v>Department - VT3</v>
          </cell>
          <cell r="K1213">
            <v>0</v>
          </cell>
        </row>
        <row r="1214">
          <cell r="C1214">
            <v>2700</v>
          </cell>
          <cell r="D1214" t="str">
            <v>Macy</v>
          </cell>
          <cell r="E1214" t="str">
            <v>Full Staff</v>
          </cell>
          <cell r="F1214" t="str">
            <v>Macys - Men</v>
          </cell>
          <cell r="G1214" t="str">
            <v>Macy</v>
          </cell>
          <cell r="H1214" t="str">
            <v>SG_05_01 Sun Glass Hut_Macys FS_OWNED</v>
          </cell>
          <cell r="I1214" t="str">
            <v>0000002700 Micronesia Mall - Macy's Mens</v>
          </cell>
          <cell r="J1214" t="str">
            <v>Department - Mens</v>
          </cell>
          <cell r="K1214">
            <v>0</v>
          </cell>
        </row>
        <row r="1215">
          <cell r="C1215">
            <v>2801</v>
          </cell>
          <cell r="D1215" t="str">
            <v>Macy</v>
          </cell>
          <cell r="E1215" t="str">
            <v>Full Staff</v>
          </cell>
          <cell r="F1215" t="str">
            <v>Macys - VT3</v>
          </cell>
          <cell r="G1215" t="str">
            <v>Macy</v>
          </cell>
          <cell r="H1215" t="str">
            <v>SG_05_01 Sun Glass Hut_Macys FS_OWNED</v>
          </cell>
          <cell r="I1215" t="str">
            <v>0000002801 Downtown Miami - Macy's</v>
          </cell>
          <cell r="J1215" t="str">
            <v>Department - VT3</v>
          </cell>
          <cell r="K1215">
            <v>0</v>
          </cell>
        </row>
        <row r="1216">
          <cell r="C1216">
            <v>2802</v>
          </cell>
          <cell r="D1216" t="str">
            <v>Macy</v>
          </cell>
          <cell r="E1216" t="str">
            <v>Full Staff</v>
          </cell>
          <cell r="F1216" t="str">
            <v>Macys - VT2</v>
          </cell>
          <cell r="G1216" t="str">
            <v>Macy</v>
          </cell>
          <cell r="H1216" t="str">
            <v>SG_05_01 Sun Glass Hut_Macys FS_OWNED</v>
          </cell>
          <cell r="I1216" t="str">
            <v>0000002802 Miami Beach - Macy's</v>
          </cell>
          <cell r="J1216" t="str">
            <v>Department - VT2</v>
          </cell>
          <cell r="K1216">
            <v>0</v>
          </cell>
        </row>
        <row r="1217">
          <cell r="C1217">
            <v>2804</v>
          </cell>
          <cell r="D1217" t="str">
            <v>Macy</v>
          </cell>
          <cell r="E1217" t="str">
            <v>Full Staff</v>
          </cell>
          <cell r="F1217" t="str">
            <v>Macys - Flg</v>
          </cell>
          <cell r="G1217" t="str">
            <v>Macy</v>
          </cell>
          <cell r="H1217" t="str">
            <v>SG_05_01 Sun Glass Hut_Macys FS_OWNED</v>
          </cell>
          <cell r="I1217" t="str">
            <v>0000002804 Dadeland Mall - Macy's</v>
          </cell>
          <cell r="J1217" t="str">
            <v>Department - FLG</v>
          </cell>
          <cell r="K1217">
            <v>0</v>
          </cell>
        </row>
        <row r="1218">
          <cell r="C1218">
            <v>2805</v>
          </cell>
          <cell r="D1218" t="str">
            <v>Macy</v>
          </cell>
          <cell r="E1218" t="str">
            <v>Full Staff</v>
          </cell>
          <cell r="F1218" t="str">
            <v>Macys - VT1</v>
          </cell>
          <cell r="G1218" t="str">
            <v>Macy</v>
          </cell>
          <cell r="H1218" t="str">
            <v>SG_05_01 Sun Glass Hut_Macys FS_OWNED</v>
          </cell>
          <cell r="I1218" t="str">
            <v>0000002805 Westland Mall - Macy's</v>
          </cell>
          <cell r="J1218" t="str">
            <v>Department - VT1</v>
          </cell>
          <cell r="K1218">
            <v>0</v>
          </cell>
        </row>
        <row r="1219">
          <cell r="C1219">
            <v>2806</v>
          </cell>
          <cell r="D1219" t="str">
            <v>Macy</v>
          </cell>
          <cell r="E1219" t="str">
            <v>Full Staff</v>
          </cell>
          <cell r="F1219" t="str">
            <v>Macys - VT3</v>
          </cell>
          <cell r="G1219" t="str">
            <v>Macy</v>
          </cell>
          <cell r="H1219" t="str">
            <v>SG_05_01 Sun Glass Hut_Macys FS_OWNED</v>
          </cell>
          <cell r="I1219" t="str">
            <v>0000002806 Pompano Beach - Macy's</v>
          </cell>
          <cell r="J1219" t="str">
            <v>Department - VT3</v>
          </cell>
          <cell r="K1219">
            <v>0</v>
          </cell>
        </row>
        <row r="1220">
          <cell r="C1220">
            <v>2807</v>
          </cell>
          <cell r="D1220" t="str">
            <v>Macy</v>
          </cell>
          <cell r="E1220" t="str">
            <v>Full Staff</v>
          </cell>
          <cell r="F1220" t="str">
            <v>Macys - VT3</v>
          </cell>
          <cell r="G1220" t="str">
            <v>Macy</v>
          </cell>
          <cell r="H1220" t="str">
            <v>SG_05_01 Sun Glass Hut_Macys FS_OWNED</v>
          </cell>
          <cell r="I1220" t="str">
            <v>0000002807 Orlando Fashion Square - Macy'</v>
          </cell>
          <cell r="J1220" t="str">
            <v>Department - VT3</v>
          </cell>
          <cell r="K1220">
            <v>0</v>
          </cell>
        </row>
        <row r="1221">
          <cell r="C1221">
            <v>2812</v>
          </cell>
          <cell r="D1221" t="str">
            <v>Macy</v>
          </cell>
          <cell r="E1221" t="str">
            <v>Full Staff</v>
          </cell>
          <cell r="F1221" t="str">
            <v>Macys - VT1</v>
          </cell>
          <cell r="G1221" t="str">
            <v>Macy</v>
          </cell>
          <cell r="H1221" t="str">
            <v>SG_05_01 Sun Glass Hut_Macys FS_OWNED</v>
          </cell>
          <cell r="I1221" t="str">
            <v>0000002812 Broward Mall - Macy's</v>
          </cell>
          <cell r="J1221" t="str">
            <v>Department - VT1</v>
          </cell>
          <cell r="K1221">
            <v>0</v>
          </cell>
        </row>
        <row r="1222">
          <cell r="C1222">
            <v>2813</v>
          </cell>
          <cell r="D1222" t="str">
            <v>Macy</v>
          </cell>
          <cell r="E1222" t="str">
            <v>Full Staff</v>
          </cell>
          <cell r="F1222" t="str">
            <v>Macys - VT1</v>
          </cell>
          <cell r="G1222" t="str">
            <v>Macy</v>
          </cell>
          <cell r="H1222" t="str">
            <v>SG_05_01 Sun Glass Hut_Macys FS_OWNED</v>
          </cell>
          <cell r="I1222" t="str">
            <v>0000002813 Town Center at Boca Raton - Ma</v>
          </cell>
          <cell r="J1222" t="str">
            <v>Department - VT1</v>
          </cell>
          <cell r="K1222">
            <v>0</v>
          </cell>
        </row>
        <row r="1223">
          <cell r="C1223">
            <v>2816</v>
          </cell>
          <cell r="D1223" t="str">
            <v>Macy</v>
          </cell>
          <cell r="E1223" t="str">
            <v>Full Staff</v>
          </cell>
          <cell r="F1223" t="str">
            <v>Macys - VT1</v>
          </cell>
          <cell r="G1223" t="str">
            <v>Macy</v>
          </cell>
          <cell r="H1223" t="str">
            <v>SG_05_01 Sun Glass Hut_Macys FS_OWNED</v>
          </cell>
          <cell r="I1223" t="str">
            <v>0000002816 Galleria Ft Lauderdale - Macy'</v>
          </cell>
          <cell r="J1223" t="str">
            <v>Department - VT1</v>
          </cell>
          <cell r="K1223">
            <v>0</v>
          </cell>
        </row>
        <row r="1224">
          <cell r="C1224">
            <v>2818</v>
          </cell>
          <cell r="D1224" t="str">
            <v>Macy</v>
          </cell>
          <cell r="E1224" t="str">
            <v>Full Staff</v>
          </cell>
          <cell r="F1224" t="str">
            <v>Macys - Men</v>
          </cell>
          <cell r="G1224" t="str">
            <v>Macy</v>
          </cell>
          <cell r="H1224" t="str">
            <v>SG_05_01 Sun Glass Hut_Macys FS_OWNED</v>
          </cell>
          <cell r="I1224" t="str">
            <v>0000002818 Miami Int'l Mall - Macy's Mens</v>
          </cell>
          <cell r="J1224" t="str">
            <v>Department - Mens</v>
          </cell>
          <cell r="K1224">
            <v>0</v>
          </cell>
        </row>
        <row r="1225">
          <cell r="C1225">
            <v>2822</v>
          </cell>
          <cell r="D1225" t="str">
            <v>Macy</v>
          </cell>
          <cell r="E1225" t="str">
            <v>Full Staff</v>
          </cell>
          <cell r="F1225" t="str">
            <v>Macys - VT1</v>
          </cell>
          <cell r="G1225" t="str">
            <v>Macy</v>
          </cell>
          <cell r="H1225" t="str">
            <v>SG_05_01 Sun Glass Hut_Macys FS_OWNED</v>
          </cell>
          <cell r="I1225" t="str">
            <v>0000002822 Coral Square - Macy's</v>
          </cell>
          <cell r="J1225" t="str">
            <v>Department - VT1</v>
          </cell>
          <cell r="K1225">
            <v>0</v>
          </cell>
        </row>
        <row r="1226">
          <cell r="C1226">
            <v>2823</v>
          </cell>
          <cell r="D1226" t="str">
            <v>Macy</v>
          </cell>
          <cell r="E1226" t="str">
            <v>Full Staff</v>
          </cell>
          <cell r="F1226" t="str">
            <v>Macys - VT2</v>
          </cell>
          <cell r="G1226" t="str">
            <v>Macy</v>
          </cell>
          <cell r="H1226" t="str">
            <v>SG_05_01 Sun Glass Hut_Macys FS_OWNED</v>
          </cell>
          <cell r="I1226" t="str">
            <v>0000002823 Boynton Beach Mall - Macy's</v>
          </cell>
          <cell r="J1226" t="str">
            <v>Department - VT2</v>
          </cell>
          <cell r="K1226">
            <v>0</v>
          </cell>
        </row>
        <row r="1227">
          <cell r="C1227">
            <v>2825</v>
          </cell>
          <cell r="D1227" t="str">
            <v>Macy</v>
          </cell>
          <cell r="E1227" t="str">
            <v>Full Staff</v>
          </cell>
          <cell r="F1227" t="str">
            <v>Macys - VT1</v>
          </cell>
          <cell r="G1227" t="str">
            <v>Macy</v>
          </cell>
          <cell r="H1227" t="str">
            <v>SG_05_01 Sun Glass Hut_Macys FS_OWNED</v>
          </cell>
          <cell r="I1227" t="str">
            <v>0000002825 Pembroke Lakes Mall - Macy's</v>
          </cell>
          <cell r="J1227" t="str">
            <v>Department - VT1</v>
          </cell>
          <cell r="K1227">
            <v>0</v>
          </cell>
        </row>
        <row r="1228">
          <cell r="C1228">
            <v>2828</v>
          </cell>
          <cell r="D1228" t="str">
            <v>Macy</v>
          </cell>
          <cell r="E1228" t="str">
            <v>Full Staff</v>
          </cell>
          <cell r="F1228" t="str">
            <v>Macys - VT1</v>
          </cell>
          <cell r="G1228" t="str">
            <v>Macy</v>
          </cell>
          <cell r="H1228" t="str">
            <v>SG_05_01 Sun Glass Hut_Macys FS_OWNED</v>
          </cell>
          <cell r="I1228" t="str">
            <v>0000002828 Westshore Plaza - Macy's</v>
          </cell>
          <cell r="J1228" t="str">
            <v>Department - VT1</v>
          </cell>
          <cell r="K1228">
            <v>0</v>
          </cell>
        </row>
        <row r="1229">
          <cell r="C1229">
            <v>2829</v>
          </cell>
          <cell r="D1229" t="str">
            <v>Macy</v>
          </cell>
          <cell r="E1229" t="str">
            <v>Full Staff</v>
          </cell>
          <cell r="F1229" t="str">
            <v>Macys - VT3</v>
          </cell>
          <cell r="G1229" t="str">
            <v>Macy</v>
          </cell>
          <cell r="H1229" t="str">
            <v>SG_05_01 Sun Glass Hut_Macys FS_OWNED</v>
          </cell>
          <cell r="I1229" t="str">
            <v>0000002829 Tyrone Square Mall - Macy's</v>
          </cell>
          <cell r="J1229" t="str">
            <v>Department - VT3</v>
          </cell>
          <cell r="K1229">
            <v>0</v>
          </cell>
        </row>
        <row r="1230">
          <cell r="C1230">
            <v>2830</v>
          </cell>
          <cell r="D1230" t="str">
            <v>Macy</v>
          </cell>
          <cell r="E1230" t="str">
            <v>Full Staff</v>
          </cell>
          <cell r="F1230" t="str">
            <v>Macys - VT2</v>
          </cell>
          <cell r="G1230" t="str">
            <v>Macy</v>
          </cell>
          <cell r="H1230" t="str">
            <v>SG_05_01 Sun Glass Hut_Macys FS_OWNED</v>
          </cell>
          <cell r="I1230" t="str">
            <v>0000002830 Countryside Mall - Macy's</v>
          </cell>
          <cell r="J1230" t="str">
            <v>Department - VT2</v>
          </cell>
          <cell r="K1230">
            <v>0</v>
          </cell>
        </row>
        <row r="1231">
          <cell r="C1231">
            <v>2834</v>
          </cell>
          <cell r="D1231" t="str">
            <v>Macy</v>
          </cell>
          <cell r="E1231" t="str">
            <v>Full Staff</v>
          </cell>
          <cell r="F1231" t="str">
            <v>Macys - VT3</v>
          </cell>
          <cell r="G1231" t="str">
            <v>Macy</v>
          </cell>
          <cell r="H1231" t="str">
            <v>SG_05_01 Sun Glass Hut_Macys FS_OWNED</v>
          </cell>
          <cell r="I1231" t="str">
            <v>0000002834 Governors Square Mall - Macy's</v>
          </cell>
          <cell r="J1231" t="str">
            <v>Department - VT3</v>
          </cell>
          <cell r="K1231">
            <v>0</v>
          </cell>
        </row>
        <row r="1232">
          <cell r="C1232">
            <v>2835</v>
          </cell>
          <cell r="D1232" t="str">
            <v>Macy</v>
          </cell>
          <cell r="E1232" t="str">
            <v>Full Staff</v>
          </cell>
          <cell r="F1232" t="str">
            <v>Macys - VT2</v>
          </cell>
          <cell r="G1232" t="str">
            <v>Macy</v>
          </cell>
          <cell r="H1232" t="str">
            <v>SG_05_01 Sun Glass Hut_Macys FS_OWNED</v>
          </cell>
          <cell r="I1232" t="str">
            <v>0000002835 Coastland Center - Macy's</v>
          </cell>
          <cell r="J1232" t="str">
            <v>Department - VT2</v>
          </cell>
          <cell r="K1232">
            <v>0</v>
          </cell>
        </row>
        <row r="1233">
          <cell r="C1233">
            <v>2845</v>
          </cell>
          <cell r="D1233" t="str">
            <v>Macy</v>
          </cell>
          <cell r="E1233" t="str">
            <v>Full Staff</v>
          </cell>
          <cell r="F1233" t="str">
            <v>Macys - VT3</v>
          </cell>
          <cell r="G1233" t="str">
            <v>Macy</v>
          </cell>
          <cell r="H1233" t="str">
            <v>SG_05_01 Sun Glass Hut_Macys FS_OWNED</v>
          </cell>
          <cell r="I1233" t="str">
            <v>0000002845 Edison Mall - Macy's</v>
          </cell>
          <cell r="J1233" t="str">
            <v>Department - VT3</v>
          </cell>
          <cell r="K1233">
            <v>0</v>
          </cell>
        </row>
        <row r="1234">
          <cell r="C1234">
            <v>2846</v>
          </cell>
          <cell r="D1234" t="str">
            <v>Macy</v>
          </cell>
          <cell r="E1234" t="str">
            <v>Full Staff</v>
          </cell>
          <cell r="F1234" t="str">
            <v>Macys - VT1</v>
          </cell>
          <cell r="G1234" t="str">
            <v>Macy</v>
          </cell>
          <cell r="H1234" t="str">
            <v>SG_05_01 Sun Glass Hut_Macys FS_OWNED</v>
          </cell>
          <cell r="I1234" t="str">
            <v>0000002846 Miami Int'l Mall - Macy's</v>
          </cell>
          <cell r="J1234" t="str">
            <v>Department - VT1</v>
          </cell>
          <cell r="K1234">
            <v>0</v>
          </cell>
        </row>
        <row r="1235">
          <cell r="C1235">
            <v>2873</v>
          </cell>
          <cell r="D1235" t="str">
            <v>Macy</v>
          </cell>
          <cell r="E1235" t="str">
            <v>Full Staff</v>
          </cell>
          <cell r="F1235" t="str">
            <v>Macys - Men</v>
          </cell>
          <cell r="G1235" t="str">
            <v>Macy</v>
          </cell>
          <cell r="H1235" t="str">
            <v>SG_05_01 Sun Glass Hut_Macys FS_OWNED</v>
          </cell>
          <cell r="I1235" t="str">
            <v>0000002873 Willowbrook Mall-Macy's Mens</v>
          </cell>
          <cell r="J1235" t="str">
            <v>Department - Mens</v>
          </cell>
          <cell r="K1235">
            <v>0</v>
          </cell>
        </row>
        <row r="1236">
          <cell r="C1236">
            <v>3005</v>
          </cell>
          <cell r="D1236" t="str">
            <v>Macy</v>
          </cell>
          <cell r="E1236" t="str">
            <v>Full Staff</v>
          </cell>
          <cell r="F1236" t="str">
            <v>Macys - Men</v>
          </cell>
          <cell r="G1236" t="str">
            <v>Macy</v>
          </cell>
          <cell r="H1236" t="str">
            <v>SG_05_01 Sun Glass Hut_Macys FS_OWNED</v>
          </cell>
          <cell r="I1236" t="str">
            <v>0000003005 Flushing - Macy's Mens</v>
          </cell>
          <cell r="J1236" t="str">
            <v>Department - Mens</v>
          </cell>
          <cell r="K1236">
            <v>0</v>
          </cell>
        </row>
        <row r="1237">
          <cell r="C1237">
            <v>3073</v>
          </cell>
          <cell r="D1237" t="str">
            <v>Macy</v>
          </cell>
          <cell r="E1237" t="str">
            <v>Full Staff</v>
          </cell>
          <cell r="F1237" t="str">
            <v>Macys - VT3</v>
          </cell>
          <cell r="G1237" t="str">
            <v>Macy</v>
          </cell>
          <cell r="H1237" t="str">
            <v>SG_05_01 Sun Glass Hut_Macys FS_OWNED</v>
          </cell>
          <cell r="I1237" t="str">
            <v>0000003073 Gurnee Mills - Macy's</v>
          </cell>
          <cell r="J1237" t="str">
            <v>Department - VT3</v>
          </cell>
          <cell r="K1237">
            <v>0</v>
          </cell>
        </row>
        <row r="1238">
          <cell r="C1238">
            <v>3081</v>
          </cell>
          <cell r="D1238" t="str">
            <v>Macy</v>
          </cell>
          <cell r="E1238" t="str">
            <v>Full Staff</v>
          </cell>
          <cell r="F1238" t="str">
            <v>Macys - VT3</v>
          </cell>
          <cell r="G1238" t="str">
            <v>Macy</v>
          </cell>
          <cell r="H1238" t="str">
            <v>SG_05_01 Sun Glass Hut_Macys FS_OWNED</v>
          </cell>
          <cell r="I1238" t="str">
            <v>0000003081 Ann Arbor - Macy's</v>
          </cell>
          <cell r="J1238" t="str">
            <v>Department - VT3</v>
          </cell>
          <cell r="K1238">
            <v>0</v>
          </cell>
        </row>
        <row r="1239">
          <cell r="C1239">
            <v>3082</v>
          </cell>
          <cell r="D1239" t="str">
            <v>Macy</v>
          </cell>
          <cell r="E1239" t="str">
            <v>Full Staff</v>
          </cell>
          <cell r="F1239" t="str">
            <v>Macys - VT3</v>
          </cell>
          <cell r="G1239" t="str">
            <v>Macy</v>
          </cell>
          <cell r="H1239" t="str">
            <v>SG_05_01 Sun Glass Hut_Macys FS_OWNED</v>
          </cell>
          <cell r="I1239" t="str">
            <v>0000003082 Eastland Center - Macy's</v>
          </cell>
          <cell r="J1239" t="str">
            <v>Department - VT3</v>
          </cell>
          <cell r="K1239">
            <v>0</v>
          </cell>
        </row>
        <row r="1240">
          <cell r="C1240">
            <v>3083</v>
          </cell>
          <cell r="D1240" t="str">
            <v>Macy</v>
          </cell>
          <cell r="E1240" t="str">
            <v>Full Staff</v>
          </cell>
          <cell r="F1240" t="str">
            <v>Macys - VT3</v>
          </cell>
          <cell r="G1240" t="str">
            <v>Macy</v>
          </cell>
          <cell r="H1240" t="str">
            <v>SG_05_01 Sun Glass Hut_Macys FS_OWNED</v>
          </cell>
          <cell r="I1240" t="str">
            <v>0000003083 Fairlane Town Center - Macy's</v>
          </cell>
          <cell r="J1240" t="str">
            <v>Department - VT3</v>
          </cell>
          <cell r="K1240">
            <v>0</v>
          </cell>
        </row>
        <row r="1241">
          <cell r="C1241">
            <v>3087</v>
          </cell>
          <cell r="D1241" t="str">
            <v>Macy</v>
          </cell>
          <cell r="E1241" t="str">
            <v>Full Staff</v>
          </cell>
          <cell r="F1241" t="str">
            <v>Macys - VT3</v>
          </cell>
          <cell r="G1241" t="str">
            <v>Macy</v>
          </cell>
          <cell r="H1241" t="str">
            <v>SG_05_01 Sun Glass Hut_Macys FS_OWNED</v>
          </cell>
          <cell r="I1241" t="str">
            <v>0000003087 Lakeside Mall - Macy's</v>
          </cell>
          <cell r="J1241" t="str">
            <v>Department - VT3</v>
          </cell>
          <cell r="K1241">
            <v>0</v>
          </cell>
        </row>
        <row r="1242">
          <cell r="C1242">
            <v>3090</v>
          </cell>
          <cell r="D1242" t="str">
            <v>Macy</v>
          </cell>
          <cell r="E1242" t="str">
            <v>Full Staff</v>
          </cell>
          <cell r="F1242" t="str">
            <v>Macys - VT2</v>
          </cell>
          <cell r="G1242" t="str">
            <v>Macy</v>
          </cell>
          <cell r="H1242" t="str">
            <v>SG_05_01 Sun Glass Hut_Macys FS_OWNED</v>
          </cell>
          <cell r="I1242" t="str">
            <v>0000003090 Twelve Oaks Mall - Macy's</v>
          </cell>
          <cell r="J1242" t="str">
            <v>Department - VT2</v>
          </cell>
          <cell r="K1242">
            <v>0</v>
          </cell>
        </row>
        <row r="1243">
          <cell r="C1243">
            <v>3091</v>
          </cell>
          <cell r="D1243" t="str">
            <v>Macy</v>
          </cell>
          <cell r="E1243" t="str">
            <v>Full Staff</v>
          </cell>
          <cell r="F1243" t="str">
            <v>Macys - VT3</v>
          </cell>
          <cell r="G1243" t="str">
            <v>Macy</v>
          </cell>
          <cell r="H1243" t="str">
            <v>SG_05_01 Sun Glass Hut_Macys FS_OWNED</v>
          </cell>
          <cell r="I1243" t="str">
            <v>0000003091 Oakland Mall - Macy's</v>
          </cell>
          <cell r="J1243" t="str">
            <v>Department - VT3</v>
          </cell>
          <cell r="K1243">
            <v>0</v>
          </cell>
        </row>
        <row r="1244">
          <cell r="C1244">
            <v>3094</v>
          </cell>
          <cell r="D1244" t="str">
            <v>Macy</v>
          </cell>
          <cell r="E1244" t="str">
            <v>Full Staff</v>
          </cell>
          <cell r="F1244" t="str">
            <v>Macys - VT3</v>
          </cell>
          <cell r="G1244" t="str">
            <v>Macy</v>
          </cell>
          <cell r="H1244" t="str">
            <v>SG_05_01 Sun Glass Hut_Macys FS_OWNED</v>
          </cell>
          <cell r="I1244" t="str">
            <v>0000003094 Southland Center - Macy's</v>
          </cell>
          <cell r="J1244" t="str">
            <v>Department - VT3</v>
          </cell>
          <cell r="K1244">
            <v>0</v>
          </cell>
        </row>
        <row r="1245">
          <cell r="C1245">
            <v>3096</v>
          </cell>
          <cell r="D1245" t="str">
            <v>Macy</v>
          </cell>
          <cell r="E1245" t="str">
            <v>Full Staff</v>
          </cell>
          <cell r="F1245" t="str">
            <v>Macys - VT3</v>
          </cell>
          <cell r="G1245" t="str">
            <v>Macy</v>
          </cell>
          <cell r="H1245" t="str">
            <v>SG_05_01 Sun Glass Hut_Macys FS_OWNED</v>
          </cell>
          <cell r="I1245" t="str">
            <v>0000003096 Westland Shopping Center - Mac</v>
          </cell>
          <cell r="J1245" t="str">
            <v>Department - VT3</v>
          </cell>
          <cell r="K1245">
            <v>0</v>
          </cell>
        </row>
        <row r="1246">
          <cell r="C1246">
            <v>3097</v>
          </cell>
          <cell r="D1246" t="str">
            <v>Macy</v>
          </cell>
          <cell r="E1246" t="str">
            <v>Full Staff</v>
          </cell>
          <cell r="F1246" t="str">
            <v>Macys - VT2</v>
          </cell>
          <cell r="G1246" t="str">
            <v>Macy</v>
          </cell>
          <cell r="H1246" t="str">
            <v>SG_05_01 Sun Glass Hut_Macys FS_OWNED</v>
          </cell>
          <cell r="I1246" t="str">
            <v>0000003097 Somerset Collection - Macy's</v>
          </cell>
          <cell r="J1246" t="str">
            <v>Department - VT2</v>
          </cell>
          <cell r="K1246">
            <v>0</v>
          </cell>
        </row>
        <row r="1247">
          <cell r="C1247">
            <v>3104</v>
          </cell>
          <cell r="D1247" t="str">
            <v>Macy</v>
          </cell>
          <cell r="E1247" t="str">
            <v>Full Staff</v>
          </cell>
          <cell r="F1247" t="str">
            <v>Macys - VT2</v>
          </cell>
          <cell r="G1247" t="str">
            <v>Macy</v>
          </cell>
          <cell r="H1247" t="str">
            <v>SG_05_01 Sun Glass Hut_Macys FS_OWNED</v>
          </cell>
          <cell r="I1247" t="str">
            <v>0000003104 Fox Valley Mall - Macy's</v>
          </cell>
          <cell r="J1247" t="str">
            <v>Department - VT2</v>
          </cell>
          <cell r="K1247">
            <v>0</v>
          </cell>
        </row>
        <row r="1248">
          <cell r="C1248">
            <v>3105</v>
          </cell>
          <cell r="D1248" t="str">
            <v>Macy</v>
          </cell>
          <cell r="E1248" t="str">
            <v>Full Staff</v>
          </cell>
          <cell r="F1248" t="str">
            <v>Macys - VT3</v>
          </cell>
          <cell r="G1248" t="str">
            <v>Macy</v>
          </cell>
          <cell r="H1248" t="str">
            <v>SG_05_01 Sun Glass Hut_Macys FS_OWNED</v>
          </cell>
          <cell r="I1248" t="str">
            <v>0000003105 Hawthorn Mall - Macy's</v>
          </cell>
          <cell r="J1248" t="str">
            <v>Department - VT3</v>
          </cell>
          <cell r="K1248">
            <v>0</v>
          </cell>
        </row>
        <row r="1249">
          <cell r="C1249">
            <v>3106</v>
          </cell>
          <cell r="D1249" t="str">
            <v>Macy</v>
          </cell>
          <cell r="E1249" t="str">
            <v>Full Staff</v>
          </cell>
          <cell r="F1249" t="str">
            <v>Macys - VT3</v>
          </cell>
          <cell r="G1249" t="str">
            <v>Macy</v>
          </cell>
          <cell r="H1249" t="str">
            <v>SG_05_01 Sun Glass Hut_Macys FS_OWNED</v>
          </cell>
          <cell r="I1249" t="str">
            <v>0000003106 Hilldale Shopping Center - Mac</v>
          </cell>
          <cell r="J1249" t="str">
            <v>Department - VT3</v>
          </cell>
          <cell r="K1249">
            <v>0</v>
          </cell>
        </row>
        <row r="1250">
          <cell r="C1250">
            <v>3107</v>
          </cell>
          <cell r="D1250" t="str">
            <v>Macy</v>
          </cell>
          <cell r="E1250" t="str">
            <v>Full Staff</v>
          </cell>
          <cell r="F1250" t="str">
            <v>Macys - VT2</v>
          </cell>
          <cell r="G1250" t="str">
            <v>Macy</v>
          </cell>
          <cell r="H1250" t="str">
            <v>SG_05_01 Sun Glass Hut_Macys FS_OWNED</v>
          </cell>
          <cell r="I1250" t="str">
            <v>0000003107 Mayfair Mall - Macy's</v>
          </cell>
          <cell r="J1250" t="str">
            <v>Department - VT2</v>
          </cell>
          <cell r="K1250">
            <v>0</v>
          </cell>
        </row>
        <row r="1251">
          <cell r="C1251">
            <v>3108</v>
          </cell>
          <cell r="D1251" t="str">
            <v>Macy</v>
          </cell>
          <cell r="E1251" t="str">
            <v>Full Staff</v>
          </cell>
          <cell r="F1251" t="str">
            <v>Macys - VT3</v>
          </cell>
          <cell r="G1251" t="str">
            <v>Macy</v>
          </cell>
          <cell r="H1251" t="str">
            <v>SG_05_01 Sun Glass Hut_Macys FS_OWNED</v>
          </cell>
          <cell r="I1251" t="str">
            <v>0000003108 Northbrook Court - Macy's</v>
          </cell>
          <cell r="J1251" t="str">
            <v>Department - VT3</v>
          </cell>
          <cell r="K1251">
            <v>0</v>
          </cell>
        </row>
        <row r="1252">
          <cell r="C1252">
            <v>3109</v>
          </cell>
          <cell r="D1252" t="str">
            <v>Macy</v>
          </cell>
          <cell r="E1252" t="str">
            <v>Full Staff</v>
          </cell>
          <cell r="F1252" t="str">
            <v>Macys - VT1</v>
          </cell>
          <cell r="G1252" t="str">
            <v>Macy</v>
          </cell>
          <cell r="H1252" t="str">
            <v>SG_05_01 Sun Glass Hut_Macys FS_OWNED</v>
          </cell>
          <cell r="I1252" t="str">
            <v>0000003109 Oakbrook Center - Macy's</v>
          </cell>
          <cell r="J1252" t="str">
            <v>Department - VT1</v>
          </cell>
          <cell r="K1252">
            <v>0</v>
          </cell>
        </row>
        <row r="1253">
          <cell r="C1253">
            <v>3110</v>
          </cell>
          <cell r="D1253" t="str">
            <v>Macy</v>
          </cell>
          <cell r="E1253" t="str">
            <v>Full Staff</v>
          </cell>
          <cell r="F1253" t="str">
            <v>Macys - VT2</v>
          </cell>
          <cell r="G1253" t="str">
            <v>Macy</v>
          </cell>
          <cell r="H1253" t="str">
            <v>SG_05_01 Sun Glass Hut_Macys FS_OWNED</v>
          </cell>
          <cell r="I1253" t="str">
            <v>0000003110 Old Orchard Mall - Macy's</v>
          </cell>
          <cell r="J1253" t="str">
            <v>Department - VT2</v>
          </cell>
          <cell r="K1253">
            <v>0</v>
          </cell>
        </row>
        <row r="1254">
          <cell r="C1254">
            <v>3111</v>
          </cell>
          <cell r="D1254" t="str">
            <v>Macy</v>
          </cell>
          <cell r="E1254" t="str">
            <v>Full Staff</v>
          </cell>
          <cell r="F1254" t="str">
            <v>Macys - VT3</v>
          </cell>
          <cell r="G1254" t="str">
            <v>Macy</v>
          </cell>
          <cell r="H1254" t="str">
            <v>SG_05_01 Sun Glass Hut_Macys FS_OWNED</v>
          </cell>
          <cell r="I1254" t="str">
            <v>0000003111 Orland Square - Macy's</v>
          </cell>
          <cell r="J1254" t="str">
            <v>Department - VT3</v>
          </cell>
          <cell r="K1254">
            <v>0</v>
          </cell>
        </row>
        <row r="1255">
          <cell r="C1255">
            <v>3113</v>
          </cell>
          <cell r="D1255" t="str">
            <v>Macy</v>
          </cell>
          <cell r="E1255" t="str">
            <v>Full Staff</v>
          </cell>
          <cell r="F1255" t="str">
            <v>Macys - Flg</v>
          </cell>
          <cell r="G1255" t="str">
            <v>Macy</v>
          </cell>
          <cell r="H1255" t="str">
            <v>SG_05_01 Sun Glass Hut_Macys FS_OWNED</v>
          </cell>
          <cell r="I1255" t="str">
            <v>0000003113 State St - Macy's</v>
          </cell>
          <cell r="J1255" t="str">
            <v>Department - FLG</v>
          </cell>
          <cell r="K1255">
            <v>0</v>
          </cell>
        </row>
        <row r="1256">
          <cell r="C1256">
            <v>3114</v>
          </cell>
          <cell r="D1256" t="str">
            <v>Macy</v>
          </cell>
          <cell r="E1256" t="str">
            <v>Full Staff</v>
          </cell>
          <cell r="F1256" t="str">
            <v>Macys - VT1</v>
          </cell>
          <cell r="G1256" t="str">
            <v>Macy</v>
          </cell>
          <cell r="H1256" t="str">
            <v>SG_05_01 Sun Glass Hut_Macys FS_OWNED</v>
          </cell>
          <cell r="I1256" t="str">
            <v>0000003114 Water Tower Place - Macy's</v>
          </cell>
          <cell r="J1256" t="str">
            <v>Department - VT1</v>
          </cell>
          <cell r="K1256">
            <v>0</v>
          </cell>
        </row>
        <row r="1257">
          <cell r="C1257">
            <v>3115</v>
          </cell>
          <cell r="D1257" t="str">
            <v>Macy</v>
          </cell>
          <cell r="E1257" t="str">
            <v>Full Staff</v>
          </cell>
          <cell r="F1257" t="str">
            <v>Macys - VT1</v>
          </cell>
          <cell r="G1257" t="str">
            <v>Macy</v>
          </cell>
          <cell r="H1257" t="str">
            <v>SG_05_01 Sun Glass Hut_Macys FS_OWNED</v>
          </cell>
          <cell r="I1257" t="str">
            <v>0000003115 Woodfield Mall - Macy's</v>
          </cell>
          <cell r="J1257" t="str">
            <v>Department - VT1</v>
          </cell>
          <cell r="K1257">
            <v>0</v>
          </cell>
        </row>
        <row r="1258">
          <cell r="C1258">
            <v>3116</v>
          </cell>
          <cell r="D1258" t="str">
            <v>Macy</v>
          </cell>
          <cell r="E1258" t="str">
            <v>Full Staff</v>
          </cell>
          <cell r="F1258" t="str">
            <v>Macys - VT3</v>
          </cell>
          <cell r="G1258" t="str">
            <v>Macy</v>
          </cell>
          <cell r="H1258" t="str">
            <v>SG_05_01 Sun Glass Hut_Macys FS_OWNED</v>
          </cell>
          <cell r="I1258" t="str">
            <v>0000003116 CherryVale Mall - Macy's</v>
          </cell>
          <cell r="J1258" t="str">
            <v>Department - VT3</v>
          </cell>
          <cell r="K1258">
            <v>0</v>
          </cell>
        </row>
        <row r="1259">
          <cell r="C1259">
            <v>3143</v>
          </cell>
          <cell r="D1259" t="str">
            <v>Macy</v>
          </cell>
          <cell r="E1259" t="str">
            <v>Full Staff</v>
          </cell>
          <cell r="F1259" t="str">
            <v>Macys - VT1</v>
          </cell>
          <cell r="G1259" t="str">
            <v>Macy</v>
          </cell>
          <cell r="H1259" t="str">
            <v>SG_05_01 Sun Glass Hut_Macys FS_OWNED</v>
          </cell>
          <cell r="I1259" t="str">
            <v>0000003143 The Florida Mall - Macy's</v>
          </cell>
          <cell r="J1259" t="str">
            <v>Department - VT1</v>
          </cell>
          <cell r="K1259">
            <v>0</v>
          </cell>
        </row>
        <row r="1260">
          <cell r="C1260">
            <v>3391</v>
          </cell>
          <cell r="D1260" t="str">
            <v>Macy</v>
          </cell>
          <cell r="E1260" t="str">
            <v>Full Staff</v>
          </cell>
          <cell r="F1260" t="str">
            <v>Macys - Men</v>
          </cell>
          <cell r="G1260" t="str">
            <v>Macy</v>
          </cell>
          <cell r="H1260" t="str">
            <v>SG_05_01 Sun Glass Hut_Macys FS_OWNED</v>
          </cell>
          <cell r="I1260" t="str">
            <v>0000003391 Ala Moana - Macy's Mens</v>
          </cell>
          <cell r="J1260" t="str">
            <v>Department - Mens</v>
          </cell>
          <cell r="K1260">
            <v>0</v>
          </cell>
        </row>
        <row r="1261">
          <cell r="C1261">
            <v>3492</v>
          </cell>
          <cell r="D1261" t="str">
            <v>Macy</v>
          </cell>
          <cell r="E1261" t="str">
            <v>Full Staff</v>
          </cell>
          <cell r="F1261" t="str">
            <v>Macys - VT3</v>
          </cell>
          <cell r="G1261" t="str">
            <v>Macy</v>
          </cell>
          <cell r="H1261" t="str">
            <v>SG_05_01 Sun Glass Hut_Macys FS_OWNED</v>
          </cell>
          <cell r="I1261" t="str">
            <v>0000003492 Citrus Park Town Center - Macy</v>
          </cell>
          <cell r="J1261" t="str">
            <v>Department - VT3</v>
          </cell>
          <cell r="K1261">
            <v>0</v>
          </cell>
        </row>
        <row r="1262">
          <cell r="C1262">
            <v>3759</v>
          </cell>
          <cell r="D1262" t="str">
            <v>Macy</v>
          </cell>
          <cell r="E1262" t="str">
            <v>Full Staff</v>
          </cell>
          <cell r="F1262" t="str">
            <v>Macys - Men</v>
          </cell>
          <cell r="G1262" t="str">
            <v>Macy</v>
          </cell>
          <cell r="H1262" t="str">
            <v>SG_05_01 Sun Glass Hut_Macys FS_OWNED</v>
          </cell>
          <cell r="I1262" t="str">
            <v>0000003759 Las Vegas Fashion Show - Macy'</v>
          </cell>
          <cell r="J1262" t="str">
            <v>Department - Mens</v>
          </cell>
          <cell r="K1262">
            <v>0</v>
          </cell>
        </row>
        <row r="1263">
          <cell r="C1263">
            <v>3767</v>
          </cell>
          <cell r="D1263" t="str">
            <v>Macy</v>
          </cell>
          <cell r="E1263" t="str">
            <v>Full Staff</v>
          </cell>
          <cell r="F1263" t="str">
            <v>Macys - Men</v>
          </cell>
          <cell r="G1263" t="str">
            <v>Macy</v>
          </cell>
          <cell r="H1263" t="str">
            <v>SG_05_01 Sun Glass Hut_Macys FS_OWNED</v>
          </cell>
          <cell r="I1263" t="str">
            <v>0000003767 Downtown Minneapolis - Macy's</v>
          </cell>
          <cell r="J1263" t="str">
            <v>Department - Mens</v>
          </cell>
          <cell r="K1263">
            <v>0</v>
          </cell>
        </row>
        <row r="1264">
          <cell r="C1264">
            <v>3777</v>
          </cell>
          <cell r="D1264" t="str">
            <v>Macy</v>
          </cell>
          <cell r="E1264" t="str">
            <v>Full Staff</v>
          </cell>
          <cell r="F1264" t="str">
            <v>Macys - VT2</v>
          </cell>
          <cell r="G1264" t="str">
            <v>Macy</v>
          </cell>
          <cell r="H1264" t="str">
            <v>SG_05_01 Sun Glass Hut_Macys FS_OWNED</v>
          </cell>
          <cell r="I1264" t="str">
            <v>0000003777 South Shore - Macy's</v>
          </cell>
          <cell r="J1264" t="str">
            <v>Department - VT2</v>
          </cell>
          <cell r="K1264">
            <v>0</v>
          </cell>
        </row>
        <row r="1265">
          <cell r="C1265">
            <v>3899</v>
          </cell>
          <cell r="D1265" t="str">
            <v>Macy</v>
          </cell>
          <cell r="E1265" t="str">
            <v>Full Staff</v>
          </cell>
          <cell r="F1265" t="str">
            <v>Macys - Luxury</v>
          </cell>
          <cell r="G1265" t="str">
            <v>Macy</v>
          </cell>
          <cell r="H1265" t="str">
            <v>SG_05_01 Sun Glass Hut_Macys FS_OWNED</v>
          </cell>
          <cell r="I1265" t="str">
            <v>0000003899 Herald Sqare - Macy's</v>
          </cell>
          <cell r="J1265" t="str">
            <v>Department - LUXURY</v>
          </cell>
          <cell r="K1265">
            <v>0</v>
          </cell>
        </row>
        <row r="1266">
          <cell r="C1266">
            <v>3971</v>
          </cell>
          <cell r="D1266" t="str">
            <v>Macy</v>
          </cell>
          <cell r="E1266" t="str">
            <v>Full Staff</v>
          </cell>
          <cell r="F1266" t="str">
            <v>Macys - VT1</v>
          </cell>
          <cell r="G1266" t="str">
            <v>Macy</v>
          </cell>
          <cell r="H1266" t="str">
            <v>SG_05_01 Sun Glass Hut_Macys FS_OWNED</v>
          </cell>
          <cell r="I1266" t="str">
            <v>0000003971 Mall at Wellington Green - Mac</v>
          </cell>
          <cell r="J1266" t="str">
            <v>Department - VT1</v>
          </cell>
          <cell r="K1266">
            <v>0</v>
          </cell>
        </row>
        <row r="1267">
          <cell r="C1267">
            <v>4429</v>
          </cell>
          <cell r="D1267" t="str">
            <v>Macy</v>
          </cell>
          <cell r="E1267" t="str">
            <v>Full Staff</v>
          </cell>
          <cell r="F1267" t="str">
            <v>Macys - VT1</v>
          </cell>
          <cell r="G1267" t="str">
            <v>Macy</v>
          </cell>
          <cell r="H1267" t="str">
            <v>SG_05_01 Sun Glass Hut_Macys FS_OWNED</v>
          </cell>
          <cell r="I1267" t="str">
            <v>0000004429 The Mall at Millenia - Macy's</v>
          </cell>
          <cell r="J1267" t="str">
            <v>Department - VT1</v>
          </cell>
          <cell r="K1267">
            <v>0</v>
          </cell>
        </row>
        <row r="1268">
          <cell r="C1268">
            <v>4431</v>
          </cell>
          <cell r="D1268" t="str">
            <v>Macy</v>
          </cell>
          <cell r="E1268" t="str">
            <v>Full Staff</v>
          </cell>
          <cell r="F1268" t="str">
            <v>Macys - VT3</v>
          </cell>
          <cell r="G1268" t="str">
            <v>Macy</v>
          </cell>
          <cell r="H1268" t="str">
            <v>SG_05_01 Sun Glass Hut_Macys FS_OWNED</v>
          </cell>
          <cell r="I1268" t="str">
            <v>0000004431 Palladium at CityPlace - Macy'</v>
          </cell>
          <cell r="J1268" t="str">
            <v>Department - VT3</v>
          </cell>
          <cell r="K1268">
            <v>0</v>
          </cell>
        </row>
        <row r="1269">
          <cell r="C1269">
            <v>4433</v>
          </cell>
          <cell r="D1269" t="str">
            <v>Macy</v>
          </cell>
          <cell r="E1269" t="str">
            <v>Full Staff</v>
          </cell>
          <cell r="F1269" t="str">
            <v>Macys - VT1</v>
          </cell>
          <cell r="G1269" t="str">
            <v>Macy</v>
          </cell>
          <cell r="H1269" t="str">
            <v>SG_05_01 Sun Glass Hut_Macys FS_OWNED</v>
          </cell>
          <cell r="I1269" t="str">
            <v>0000004433 Aventura Mall - Macy's</v>
          </cell>
          <cell r="J1269" t="str">
            <v>Department - VT1</v>
          </cell>
          <cell r="K1269">
            <v>0</v>
          </cell>
        </row>
        <row r="1270">
          <cell r="C1270">
            <v>4446</v>
          </cell>
          <cell r="D1270" t="str">
            <v>Macy</v>
          </cell>
          <cell r="E1270" t="str">
            <v>Full Staff</v>
          </cell>
          <cell r="F1270" t="str">
            <v>Macys - VT1</v>
          </cell>
          <cell r="G1270" t="str">
            <v>Macy</v>
          </cell>
          <cell r="H1270" t="str">
            <v>SG_05_01 Sun Glass Hut_Macys FS_OWNED</v>
          </cell>
          <cell r="I1270" t="str">
            <v>0000004446 The Gardens Mall - Macy's</v>
          </cell>
          <cell r="J1270" t="str">
            <v>Department - VT1</v>
          </cell>
          <cell r="K1270">
            <v>0</v>
          </cell>
        </row>
        <row r="1271">
          <cell r="C1271">
            <v>4449</v>
          </cell>
          <cell r="D1271" t="str">
            <v>Macy</v>
          </cell>
          <cell r="E1271" t="str">
            <v>Full Staff</v>
          </cell>
          <cell r="F1271" t="str">
            <v>Macys - VT2</v>
          </cell>
          <cell r="G1271" t="str">
            <v>Macy</v>
          </cell>
          <cell r="H1271" t="str">
            <v>SG_05_01 Sun Glass Hut_Macys FS_OWNED</v>
          </cell>
          <cell r="I1271" t="str">
            <v>0000004449 The Falls - Macy's</v>
          </cell>
          <cell r="J1271" t="str">
            <v>Department - VT2</v>
          </cell>
          <cell r="K1271">
            <v>0</v>
          </cell>
        </row>
        <row r="1272">
          <cell r="C1272">
            <v>4931</v>
          </cell>
          <cell r="D1272" t="str">
            <v>Macy</v>
          </cell>
          <cell r="E1272" t="str">
            <v>Full Staff</v>
          </cell>
          <cell r="F1272" t="str">
            <v>Macys - VT3</v>
          </cell>
          <cell r="G1272" t="str">
            <v>Macy</v>
          </cell>
          <cell r="H1272" t="str">
            <v>SG_05_01 Sun Glass Hut_Macys FS_OWNED</v>
          </cell>
          <cell r="I1272" t="str">
            <v>0000004931 Summit Fair - Macy's</v>
          </cell>
          <cell r="J1272" t="str">
            <v>Department - VT3</v>
          </cell>
          <cell r="K1272">
            <v>0</v>
          </cell>
        </row>
        <row r="1273">
          <cell r="C1273">
            <v>4966</v>
          </cell>
          <cell r="D1273" t="str">
            <v>Macy</v>
          </cell>
          <cell r="E1273" t="str">
            <v>Full Staff</v>
          </cell>
          <cell r="F1273" t="str">
            <v>Macys - Flg</v>
          </cell>
          <cell r="G1273" t="str">
            <v>Macy</v>
          </cell>
          <cell r="H1273" t="str">
            <v>SG_05_01 Sun Glass Hut_Macys FS_OWNED</v>
          </cell>
          <cell r="I1273" t="str">
            <v>0000004966 Union Square - Macy's</v>
          </cell>
          <cell r="J1273" t="str">
            <v>Department - FLG</v>
          </cell>
          <cell r="K1273">
            <v>0</v>
          </cell>
        </row>
        <row r="1274">
          <cell r="C1274">
            <v>4967</v>
          </cell>
          <cell r="D1274" t="str">
            <v>Macy</v>
          </cell>
          <cell r="E1274" t="str">
            <v>Full Staff</v>
          </cell>
          <cell r="F1274" t="str">
            <v>Macys - VT1</v>
          </cell>
          <cell r="G1274" t="str">
            <v>Macy</v>
          </cell>
          <cell r="H1274" t="str">
            <v>SG_05_01 Sun Glass Hut_Macys FS_OWNED</v>
          </cell>
          <cell r="I1274" t="str">
            <v>0000004967 Valley Fair Mall - Macy's</v>
          </cell>
          <cell r="J1274" t="str">
            <v>Department - VT1</v>
          </cell>
          <cell r="K1274">
            <v>0</v>
          </cell>
        </row>
        <row r="1275">
          <cell r="C1275">
            <v>4968</v>
          </cell>
          <cell r="D1275" t="str">
            <v>Macy</v>
          </cell>
          <cell r="E1275" t="str">
            <v>Full Staff</v>
          </cell>
          <cell r="F1275" t="str">
            <v>Macys - VT1</v>
          </cell>
          <cell r="G1275" t="str">
            <v>Macy</v>
          </cell>
          <cell r="H1275" t="str">
            <v>SG_05_01 Sun Glass Hut_Macys FS_OWNED</v>
          </cell>
          <cell r="I1275" t="str">
            <v>0000004968 South Coast Plaza - Macy's</v>
          </cell>
          <cell r="J1275" t="str">
            <v>Department - VT1 - Spec</v>
          </cell>
          <cell r="K1275">
            <v>0</v>
          </cell>
        </row>
        <row r="1276">
          <cell r="C1276">
            <v>4969</v>
          </cell>
          <cell r="D1276" t="str">
            <v>Macy</v>
          </cell>
          <cell r="E1276" t="str">
            <v>Full Staff</v>
          </cell>
          <cell r="F1276" t="str">
            <v>Macys - VT1</v>
          </cell>
          <cell r="G1276" t="str">
            <v>Macy</v>
          </cell>
          <cell r="H1276" t="str">
            <v>SG_05_01 Sun Glass Hut_Macys FS_OWNED</v>
          </cell>
          <cell r="I1276" t="str">
            <v>0000004969 Ala Moana Center - Macy's</v>
          </cell>
          <cell r="J1276" t="str">
            <v>Department - VT1</v>
          </cell>
          <cell r="K1276">
            <v>0</v>
          </cell>
        </row>
        <row r="1277">
          <cell r="C1277">
            <v>4970</v>
          </cell>
          <cell r="D1277" t="str">
            <v>Macy</v>
          </cell>
          <cell r="E1277" t="str">
            <v>Full Staff</v>
          </cell>
          <cell r="F1277" t="str">
            <v>Macys - VT1</v>
          </cell>
          <cell r="G1277" t="str">
            <v>Macy</v>
          </cell>
          <cell r="H1277" t="str">
            <v>SG_05_01 Sun Glass Hut_Macys FS_OWNED</v>
          </cell>
          <cell r="I1277" t="str">
            <v>0000004970 Stoneridge Shopping Center - M</v>
          </cell>
          <cell r="J1277" t="str">
            <v>Department - VT1</v>
          </cell>
          <cell r="K1277">
            <v>0</v>
          </cell>
        </row>
        <row r="1278">
          <cell r="C1278">
            <v>4971</v>
          </cell>
          <cell r="D1278" t="str">
            <v>Macy</v>
          </cell>
          <cell r="E1278" t="str">
            <v>Full Staff</v>
          </cell>
          <cell r="F1278" t="str">
            <v>Macys - VT1</v>
          </cell>
          <cell r="G1278" t="str">
            <v>Macy</v>
          </cell>
          <cell r="H1278" t="str">
            <v>SG_05_01 Sun Glass Hut_Macys FS_OWNED</v>
          </cell>
          <cell r="I1278" t="str">
            <v>0000004971 Fashion Square - Macy's</v>
          </cell>
          <cell r="J1278" t="str">
            <v>Department - VT1</v>
          </cell>
          <cell r="K1278">
            <v>0</v>
          </cell>
        </row>
        <row r="1279">
          <cell r="C1279">
            <v>4972</v>
          </cell>
          <cell r="D1279" t="str">
            <v>Macy</v>
          </cell>
          <cell r="E1279" t="str">
            <v>Full Staff</v>
          </cell>
          <cell r="F1279" t="str">
            <v>Macys - VT1</v>
          </cell>
          <cell r="G1279" t="str">
            <v>Macy</v>
          </cell>
          <cell r="H1279" t="str">
            <v>SG_05_01 Sun Glass Hut_Macys FS_OWNED</v>
          </cell>
          <cell r="I1279" t="str">
            <v>0000004972 Fashion Show Mall - Macy's</v>
          </cell>
          <cell r="J1279" t="str">
            <v>Department - VT1 - Spec</v>
          </cell>
          <cell r="K1279">
            <v>0</v>
          </cell>
        </row>
        <row r="1280">
          <cell r="C1280">
            <v>4973</v>
          </cell>
          <cell r="D1280" t="str">
            <v>Macy</v>
          </cell>
          <cell r="E1280" t="str">
            <v>Full Staff</v>
          </cell>
          <cell r="F1280" t="str">
            <v>Macys - VT2</v>
          </cell>
          <cell r="G1280" t="str">
            <v>Macy</v>
          </cell>
          <cell r="H1280" t="str">
            <v>SG_05_01 Sun Glass Hut_Macys FS_OWNED</v>
          </cell>
          <cell r="I1280" t="str">
            <v>0000004973 Downtown Plaza Mall - Macy's</v>
          </cell>
          <cell r="J1280" t="str">
            <v>Department - VT2</v>
          </cell>
          <cell r="K1280">
            <v>0</v>
          </cell>
        </row>
        <row r="1281">
          <cell r="C1281">
            <v>4974</v>
          </cell>
          <cell r="D1281" t="str">
            <v>Macy</v>
          </cell>
          <cell r="E1281" t="str">
            <v>Full Staff</v>
          </cell>
          <cell r="F1281" t="str">
            <v>Macys - VT1</v>
          </cell>
          <cell r="G1281" t="str">
            <v>Macy</v>
          </cell>
          <cell r="H1281" t="str">
            <v>SG_05_01 Sun Glass Hut_Macys FS_OWNED</v>
          </cell>
          <cell r="I1281" t="str">
            <v>0000004974 Fashion Fair Mall - Macy's</v>
          </cell>
          <cell r="J1281" t="str">
            <v>Department - VT1</v>
          </cell>
          <cell r="K1281">
            <v>0</v>
          </cell>
        </row>
        <row r="1282">
          <cell r="C1282">
            <v>4975</v>
          </cell>
          <cell r="D1282" t="str">
            <v>Macy</v>
          </cell>
          <cell r="E1282" t="str">
            <v>Full Staff</v>
          </cell>
          <cell r="F1282" t="str">
            <v>Macys - VT2</v>
          </cell>
          <cell r="G1282" t="str">
            <v>Macy</v>
          </cell>
          <cell r="H1282" t="str">
            <v>SG_05_01 Sun Glass Hut_Macys FS_OWNED</v>
          </cell>
          <cell r="I1282" t="str">
            <v>0000004975 Sunvalley Shopping Center - Ma</v>
          </cell>
          <cell r="J1282" t="str">
            <v>Department - VT2</v>
          </cell>
          <cell r="K1282">
            <v>0</v>
          </cell>
        </row>
        <row r="1283">
          <cell r="C1283">
            <v>4976</v>
          </cell>
          <cell r="D1283" t="str">
            <v>Macy</v>
          </cell>
          <cell r="E1283" t="str">
            <v>Full Staff</v>
          </cell>
          <cell r="F1283" t="str">
            <v>Macys - VT1</v>
          </cell>
          <cell r="G1283" t="str">
            <v>Macy</v>
          </cell>
          <cell r="H1283" t="str">
            <v>SG_05_01 Sun Glass Hut_Macys FS_OWNED</v>
          </cell>
          <cell r="I1283" t="str">
            <v>0000004976 Downtown Seattle - Macy's</v>
          </cell>
          <cell r="J1283" t="str">
            <v>Department - VT1</v>
          </cell>
          <cell r="K1283">
            <v>0</v>
          </cell>
        </row>
        <row r="1284">
          <cell r="C1284">
            <v>4977</v>
          </cell>
          <cell r="D1284" t="str">
            <v>Macy</v>
          </cell>
          <cell r="E1284" t="str">
            <v>Full Staff</v>
          </cell>
          <cell r="F1284" t="str">
            <v>Macys - VT2</v>
          </cell>
          <cell r="G1284" t="str">
            <v>Macy</v>
          </cell>
          <cell r="H1284" t="str">
            <v>SG_05_01 Sun Glass Hut_Macys FS_OWNED</v>
          </cell>
          <cell r="I1284" t="str">
            <v>0000004977 Stanford Shopping Center - Mac</v>
          </cell>
          <cell r="J1284" t="str">
            <v>Department - VT2</v>
          </cell>
          <cell r="K1284">
            <v>0</v>
          </cell>
        </row>
        <row r="1285">
          <cell r="C1285">
            <v>4978</v>
          </cell>
          <cell r="D1285" t="str">
            <v>Macy</v>
          </cell>
          <cell r="E1285" t="str">
            <v>Full Staff</v>
          </cell>
          <cell r="F1285" t="str">
            <v>Macys - VT1</v>
          </cell>
          <cell r="G1285" t="str">
            <v>Macy</v>
          </cell>
          <cell r="H1285" t="str">
            <v>SG_05_01 Sun Glass Hut_Macys FS_OWNED</v>
          </cell>
          <cell r="I1285" t="str">
            <v>0000004978 Glendale Galleria - Macy's</v>
          </cell>
          <cell r="J1285" t="str">
            <v>Department - VT1</v>
          </cell>
          <cell r="K1285">
            <v>0</v>
          </cell>
        </row>
        <row r="1286">
          <cell r="C1286">
            <v>4979</v>
          </cell>
          <cell r="D1286" t="str">
            <v>Macy</v>
          </cell>
          <cell r="E1286" t="str">
            <v>Full Staff</v>
          </cell>
          <cell r="F1286" t="str">
            <v>Macys - VT1</v>
          </cell>
          <cell r="G1286" t="str">
            <v>Macy</v>
          </cell>
          <cell r="H1286" t="str">
            <v>SG_05_01 Sun Glass Hut_Macys FS_OWNED</v>
          </cell>
          <cell r="I1286" t="str">
            <v>0000004979 Brea Mall - Macy's</v>
          </cell>
          <cell r="J1286" t="str">
            <v>Department - VT1</v>
          </cell>
          <cell r="K1286">
            <v>0</v>
          </cell>
        </row>
        <row r="1287">
          <cell r="C1287">
            <v>4980</v>
          </cell>
          <cell r="D1287" t="str">
            <v>Macy</v>
          </cell>
          <cell r="E1287" t="str">
            <v>Full Staff</v>
          </cell>
          <cell r="F1287" t="str">
            <v>Macys - VT2</v>
          </cell>
          <cell r="G1287" t="str">
            <v>Macy</v>
          </cell>
          <cell r="H1287" t="str">
            <v>SG_05_01 Sun Glass Hut_Macys FS_OWNED</v>
          </cell>
          <cell r="I1287" t="str">
            <v>0000004980 Washington Square - Macy's</v>
          </cell>
          <cell r="J1287" t="str">
            <v>Department - VT2</v>
          </cell>
          <cell r="K1287">
            <v>0</v>
          </cell>
        </row>
        <row r="1288">
          <cell r="C1288">
            <v>4981</v>
          </cell>
          <cell r="D1288" t="str">
            <v>Macy</v>
          </cell>
          <cell r="E1288" t="str">
            <v>Full Staff</v>
          </cell>
          <cell r="F1288" t="str">
            <v>Macys - VT2</v>
          </cell>
          <cell r="G1288" t="str">
            <v>Macy</v>
          </cell>
          <cell r="H1288" t="str">
            <v>SG_05_01 Sun Glass Hut_Macys FS_OWNED</v>
          </cell>
          <cell r="I1288" t="str">
            <v>0000004981 Bellevue Square - Macy's</v>
          </cell>
          <cell r="J1288" t="str">
            <v>Department - VT2</v>
          </cell>
          <cell r="K1288">
            <v>0</v>
          </cell>
        </row>
        <row r="1289">
          <cell r="C1289">
            <v>4982</v>
          </cell>
          <cell r="D1289" t="str">
            <v>Macy</v>
          </cell>
          <cell r="E1289" t="str">
            <v>Full Staff</v>
          </cell>
          <cell r="F1289" t="str">
            <v>Macys - VT1</v>
          </cell>
          <cell r="G1289" t="str">
            <v>Macy</v>
          </cell>
          <cell r="H1289" t="str">
            <v>SG_05_01 Sun Glass Hut_Macys FS_OWNED</v>
          </cell>
          <cell r="I1289" t="str">
            <v>0000004982 Fashion Valley - Macy's</v>
          </cell>
          <cell r="J1289" t="str">
            <v>Department - VT1</v>
          </cell>
          <cell r="K1289">
            <v>0</v>
          </cell>
        </row>
        <row r="1290">
          <cell r="C1290">
            <v>4983</v>
          </cell>
          <cell r="D1290" t="str">
            <v>Macy</v>
          </cell>
          <cell r="E1290" t="str">
            <v>Full Staff</v>
          </cell>
          <cell r="F1290" t="str">
            <v>Macys - VT1</v>
          </cell>
          <cell r="G1290" t="str">
            <v>Macy</v>
          </cell>
          <cell r="H1290" t="str">
            <v>SG_05_01 Sun Glass Hut_Macys FS_OWNED</v>
          </cell>
          <cell r="I1290" t="str">
            <v>0000004983 Victoria Gardens - Macy's</v>
          </cell>
          <cell r="J1290" t="str">
            <v>Department - VT1</v>
          </cell>
          <cell r="K1290">
            <v>0</v>
          </cell>
        </row>
        <row r="1291">
          <cell r="C1291">
            <v>4984</v>
          </cell>
          <cell r="D1291" t="str">
            <v>Macy</v>
          </cell>
          <cell r="E1291" t="str">
            <v>Full Staff</v>
          </cell>
          <cell r="F1291" t="str">
            <v>Macys - VT1</v>
          </cell>
          <cell r="G1291" t="str">
            <v>Macy</v>
          </cell>
          <cell r="H1291" t="str">
            <v>SG_05_01 Sun Glass Hut_Macys FS_OWNED</v>
          </cell>
          <cell r="I1291" t="str">
            <v>0000004984 Northridge Fashion Center - Ma</v>
          </cell>
          <cell r="J1291" t="str">
            <v>Department - VT1</v>
          </cell>
          <cell r="K1291">
            <v>0</v>
          </cell>
        </row>
        <row r="1292">
          <cell r="C1292">
            <v>4985</v>
          </cell>
          <cell r="D1292" t="str">
            <v>Macy</v>
          </cell>
          <cell r="E1292" t="str">
            <v>Full Staff</v>
          </cell>
          <cell r="F1292" t="str">
            <v>Macys - VT1</v>
          </cell>
          <cell r="G1292" t="str">
            <v>Macy</v>
          </cell>
          <cell r="H1292" t="str">
            <v>SG_05_01 Sun Glass Hut_Macys FS_OWNED</v>
          </cell>
          <cell r="I1292" t="str">
            <v>0000004985 Broadway Plaza - Macy's</v>
          </cell>
          <cell r="J1292" t="str">
            <v>Department - VT1</v>
          </cell>
          <cell r="K1292">
            <v>0</v>
          </cell>
        </row>
        <row r="1293">
          <cell r="C1293">
            <v>4988</v>
          </cell>
          <cell r="D1293" t="str">
            <v>Macy</v>
          </cell>
          <cell r="E1293" t="str">
            <v>Full Staff</v>
          </cell>
          <cell r="F1293" t="str">
            <v>Macys - VT2</v>
          </cell>
          <cell r="G1293" t="str">
            <v>Macy</v>
          </cell>
          <cell r="H1293" t="str">
            <v>SG_05_01 Sun Glass Hut_Macys FS_OWNED</v>
          </cell>
          <cell r="I1293" t="str">
            <v>0000004988 Southcenter Mall - Macy's</v>
          </cell>
          <cell r="J1293" t="str">
            <v>Department - VT2</v>
          </cell>
          <cell r="K1293">
            <v>0</v>
          </cell>
        </row>
        <row r="1294">
          <cell r="C1294">
            <v>4990</v>
          </cell>
          <cell r="D1294" t="str">
            <v>Macy</v>
          </cell>
          <cell r="E1294" t="str">
            <v>Full Staff</v>
          </cell>
          <cell r="F1294" t="str">
            <v>Macys - VT1</v>
          </cell>
          <cell r="G1294" t="str">
            <v>Macy</v>
          </cell>
          <cell r="H1294" t="str">
            <v>SG_05_01 Sun Glass Hut_Macys FS_OWNED</v>
          </cell>
          <cell r="I1294" t="str">
            <v>0000004990 Palm Desert - Macy's</v>
          </cell>
          <cell r="J1294" t="str">
            <v>Department - VT1</v>
          </cell>
          <cell r="K1294">
            <v>0</v>
          </cell>
        </row>
        <row r="1295">
          <cell r="C1295">
            <v>4991</v>
          </cell>
          <cell r="D1295" t="str">
            <v>Macy</v>
          </cell>
          <cell r="E1295" t="str">
            <v>Full Staff</v>
          </cell>
          <cell r="F1295" t="str">
            <v>Macys - VT1</v>
          </cell>
          <cell r="G1295" t="str">
            <v>Macy</v>
          </cell>
          <cell r="H1295" t="str">
            <v>SG_05_01 Sun Glass Hut_Macys FS_OWNED</v>
          </cell>
          <cell r="I1295" t="str">
            <v>0000004991 Del Amo Fashion Center - Macy'</v>
          </cell>
          <cell r="J1295" t="str">
            <v>Department - VT1</v>
          </cell>
          <cell r="K1295">
            <v>0</v>
          </cell>
        </row>
        <row r="1296">
          <cell r="C1296">
            <v>4992</v>
          </cell>
          <cell r="D1296" t="str">
            <v>Macy</v>
          </cell>
          <cell r="E1296" t="str">
            <v>Full Staff</v>
          </cell>
          <cell r="F1296" t="str">
            <v>Macys - VT1</v>
          </cell>
          <cell r="G1296" t="str">
            <v>Macy</v>
          </cell>
          <cell r="H1296" t="str">
            <v>SG_05_01 Sun Glass Hut_Macys FS_OWNED</v>
          </cell>
          <cell r="I1296" t="str">
            <v>0000004992 Galleria at Roseville - Macy's</v>
          </cell>
          <cell r="J1296" t="str">
            <v>Department - VT1</v>
          </cell>
          <cell r="K1296">
            <v>0</v>
          </cell>
        </row>
        <row r="1297">
          <cell r="C1297">
            <v>4993</v>
          </cell>
          <cell r="D1297" t="str">
            <v>Macy</v>
          </cell>
          <cell r="E1297" t="str">
            <v>Full Staff</v>
          </cell>
          <cell r="F1297" t="str">
            <v>Macys - VT2</v>
          </cell>
          <cell r="G1297" t="str">
            <v>Macy</v>
          </cell>
          <cell r="H1297" t="str">
            <v>SG_05_01 Sun Glass Hut_Macys FS_OWNED</v>
          </cell>
          <cell r="I1297" t="str">
            <v>0000004993 Westminster Mall - Macy's</v>
          </cell>
          <cell r="J1297" t="str">
            <v>Department - VT2</v>
          </cell>
          <cell r="K1297">
            <v>0</v>
          </cell>
        </row>
        <row r="1298">
          <cell r="C1298">
            <v>4994</v>
          </cell>
          <cell r="D1298" t="str">
            <v>Macy</v>
          </cell>
          <cell r="E1298" t="str">
            <v>Full Staff</v>
          </cell>
          <cell r="F1298" t="str">
            <v>Macys - VT2</v>
          </cell>
          <cell r="G1298" t="str">
            <v>Macy</v>
          </cell>
          <cell r="H1298" t="str">
            <v>SG_05_01 Sun Glass Hut_Macys FS_OWNED</v>
          </cell>
          <cell r="I1298" t="str">
            <v>0000004994 Tacoma Mall - Macy's</v>
          </cell>
          <cell r="J1298" t="str">
            <v>Department - VT2</v>
          </cell>
          <cell r="K1298">
            <v>0</v>
          </cell>
        </row>
        <row r="1299">
          <cell r="C1299">
            <v>4995</v>
          </cell>
          <cell r="D1299" t="str">
            <v>Macy</v>
          </cell>
          <cell r="E1299" t="str">
            <v>Full Staff</v>
          </cell>
          <cell r="F1299" t="str">
            <v>Macys - VT2</v>
          </cell>
          <cell r="G1299" t="str">
            <v>Macy</v>
          </cell>
          <cell r="H1299" t="str">
            <v>SG_05_01 Sun Glass Hut_Macys FS_OWNED</v>
          </cell>
          <cell r="I1299" t="str">
            <v>0000004995 Vintage Faire Mall - Macy's</v>
          </cell>
          <cell r="J1299" t="str">
            <v>Department - VT2</v>
          </cell>
          <cell r="K1299">
            <v>0</v>
          </cell>
        </row>
        <row r="1300">
          <cell r="C1300">
            <v>4996</v>
          </cell>
          <cell r="D1300" t="str">
            <v>Macy</v>
          </cell>
          <cell r="E1300" t="str">
            <v>Full Staff</v>
          </cell>
          <cell r="F1300" t="str">
            <v>Macys - VT2</v>
          </cell>
          <cell r="G1300" t="str">
            <v>Macy</v>
          </cell>
          <cell r="H1300" t="str">
            <v>SG_05_01 Sun Glass Hut_Macys FS_OWNED</v>
          </cell>
          <cell r="I1300" t="str">
            <v>0000004996 Meadowood Mall - Macy's</v>
          </cell>
          <cell r="J1300" t="str">
            <v>Department - VT2</v>
          </cell>
          <cell r="K1300">
            <v>0</v>
          </cell>
        </row>
        <row r="1301">
          <cell r="C1301">
            <v>4997</v>
          </cell>
          <cell r="D1301" t="str">
            <v>Macy</v>
          </cell>
          <cell r="E1301" t="str">
            <v>Full Staff</v>
          </cell>
          <cell r="F1301" t="str">
            <v>Macys - VT2</v>
          </cell>
          <cell r="G1301" t="str">
            <v>Macy</v>
          </cell>
          <cell r="H1301" t="str">
            <v>SG_05_01 Sun Glass Hut_Macys FS_OWNED</v>
          </cell>
          <cell r="I1301" t="str">
            <v>0000004997 The Oaks - Macy's</v>
          </cell>
          <cell r="J1301" t="str">
            <v>Department - VT2</v>
          </cell>
          <cell r="K1301">
            <v>0</v>
          </cell>
        </row>
        <row r="1302">
          <cell r="C1302">
            <v>4998</v>
          </cell>
          <cell r="D1302" t="str">
            <v>Macy</v>
          </cell>
          <cell r="E1302" t="str">
            <v>Full Staff</v>
          </cell>
          <cell r="F1302" t="str">
            <v>Macys - VT2</v>
          </cell>
          <cell r="G1302" t="str">
            <v>Macy</v>
          </cell>
          <cell r="H1302" t="str">
            <v>SG_05_01 Sun Glass Hut_Macys FS_OWNED</v>
          </cell>
          <cell r="I1302" t="str">
            <v>0000004998 Beverly Center - Macy's</v>
          </cell>
          <cell r="J1302" t="str">
            <v>Department - VT2</v>
          </cell>
          <cell r="K1302">
            <v>0</v>
          </cell>
        </row>
        <row r="1303">
          <cell r="C1303">
            <v>4999</v>
          </cell>
          <cell r="D1303" t="str">
            <v>Macy</v>
          </cell>
          <cell r="E1303" t="str">
            <v>Full Staff</v>
          </cell>
          <cell r="F1303" t="str">
            <v>Macys - VT2</v>
          </cell>
          <cell r="G1303" t="str">
            <v>Macy</v>
          </cell>
          <cell r="H1303" t="str">
            <v>SG_05_01 Sun Glass Hut_Macys FS_OWNED</v>
          </cell>
          <cell r="I1303" t="str">
            <v>0000004999 Shops at Mission Viejo - Macy'</v>
          </cell>
          <cell r="J1303" t="str">
            <v>Department - VT2</v>
          </cell>
          <cell r="K1303">
            <v>0</v>
          </cell>
        </row>
        <row r="1304">
          <cell r="C1304">
            <v>5001</v>
          </cell>
          <cell r="D1304" t="str">
            <v>Macy</v>
          </cell>
          <cell r="E1304" t="str">
            <v>Full Staff</v>
          </cell>
          <cell r="F1304" t="str">
            <v>Macys - VT3</v>
          </cell>
          <cell r="G1304" t="str">
            <v>Macy</v>
          </cell>
          <cell r="H1304" t="str">
            <v>SG_05_01 Sun Glass Hut_Macys FS_OWNED</v>
          </cell>
          <cell r="I1304" t="str">
            <v>0000005001 Hillsdale Shopping Center - Ma</v>
          </cell>
          <cell r="J1304" t="str">
            <v>Department - VT3</v>
          </cell>
          <cell r="K1304">
            <v>0</v>
          </cell>
        </row>
        <row r="1305">
          <cell r="C1305">
            <v>5017</v>
          </cell>
          <cell r="D1305" t="str">
            <v>Macy</v>
          </cell>
          <cell r="E1305" t="str">
            <v>Full Staff</v>
          </cell>
          <cell r="F1305" t="str">
            <v>Macys - Men</v>
          </cell>
          <cell r="G1305" t="str">
            <v>Macy</v>
          </cell>
          <cell r="H1305" t="str">
            <v>SG_05_01 Sun Glass Hut_Macys FS_OWNED</v>
          </cell>
          <cell r="I1305" t="str">
            <v>0000005017 Aventura Mall - Macy's Mens</v>
          </cell>
          <cell r="J1305" t="str">
            <v>Department - Mens</v>
          </cell>
          <cell r="K1305">
            <v>0</v>
          </cell>
        </row>
        <row r="1306">
          <cell r="C1306">
            <v>5247</v>
          </cell>
          <cell r="D1306" t="str">
            <v>Macy</v>
          </cell>
          <cell r="E1306" t="str">
            <v>Full Staff</v>
          </cell>
          <cell r="F1306" t="str">
            <v>Macys - Men</v>
          </cell>
          <cell r="G1306" t="str">
            <v>Macy</v>
          </cell>
          <cell r="H1306" t="str">
            <v>SG_05_01 Sun Glass Hut_Macys FS_OWNED</v>
          </cell>
          <cell r="I1306" t="str">
            <v>0000005247 Pembroke Lakes Mall - Macy's M</v>
          </cell>
          <cell r="J1306" t="str">
            <v>Department - Mens</v>
          </cell>
          <cell r="K1306">
            <v>0</v>
          </cell>
        </row>
        <row r="1307">
          <cell r="C1307">
            <v>5315</v>
          </cell>
          <cell r="D1307" t="str">
            <v>Macy</v>
          </cell>
          <cell r="E1307" t="str">
            <v>Full Staff</v>
          </cell>
          <cell r="F1307" t="str">
            <v>Macys - VT1</v>
          </cell>
          <cell r="G1307" t="str">
            <v>Macy</v>
          </cell>
          <cell r="H1307" t="str">
            <v>SG_05_01 Sun Glass Hut_Macys FS_OWNED</v>
          </cell>
          <cell r="I1307" t="str">
            <v>0000005315 Herald Square Bridge-Macy's</v>
          </cell>
          <cell r="J1307" t="str">
            <v>Department - VT1 - Modif</v>
          </cell>
          <cell r="K1307">
            <v>0</v>
          </cell>
        </row>
        <row r="1308">
          <cell r="C1308">
            <v>5323</v>
          </cell>
          <cell r="D1308" t="str">
            <v>Macy</v>
          </cell>
          <cell r="E1308" t="str">
            <v>Full Staff</v>
          </cell>
          <cell r="F1308" t="str">
            <v>Macys - VT1</v>
          </cell>
          <cell r="G1308" t="str">
            <v>Macy</v>
          </cell>
          <cell r="H1308" t="str">
            <v>SG_05_01 Sun Glass Hut_Macys FS_OWNED</v>
          </cell>
          <cell r="I1308" t="str">
            <v>0000005323 Mall Of America - Macy's</v>
          </cell>
          <cell r="J1308" t="str">
            <v>Department - VT1</v>
          </cell>
          <cell r="K1308">
            <v>0</v>
          </cell>
        </row>
        <row r="1309">
          <cell r="C1309">
            <v>5339</v>
          </cell>
          <cell r="D1309" t="str">
            <v>Macy</v>
          </cell>
          <cell r="E1309" t="str">
            <v>Full Staff</v>
          </cell>
          <cell r="F1309" t="str">
            <v>Macys - VT3</v>
          </cell>
          <cell r="G1309" t="str">
            <v>Macy</v>
          </cell>
          <cell r="H1309" t="str">
            <v>SG_05_01 Sun Glass Hut_Macys FS_OWNED</v>
          </cell>
          <cell r="I1309" t="str">
            <v>0000005339 Promenade Bolingbrook - Macy's</v>
          </cell>
          <cell r="J1309" t="str">
            <v>Department - VT3</v>
          </cell>
          <cell r="K1309">
            <v>0</v>
          </cell>
        </row>
        <row r="1310">
          <cell r="C1310">
            <v>5400</v>
          </cell>
          <cell r="D1310" t="str">
            <v>Macy</v>
          </cell>
          <cell r="E1310" t="str">
            <v>Full Staff</v>
          </cell>
          <cell r="F1310" t="str">
            <v>Macys - VT1</v>
          </cell>
          <cell r="G1310" t="str">
            <v>Macy</v>
          </cell>
          <cell r="H1310" t="str">
            <v>SG_05_01 Sun Glass Hut_Macys FS_OWNED</v>
          </cell>
          <cell r="I1310" t="str">
            <v>0000005400 Lenox Square - Macy's</v>
          </cell>
          <cell r="J1310" t="str">
            <v>Department - VT1</v>
          </cell>
          <cell r="K1310">
            <v>0</v>
          </cell>
        </row>
        <row r="1311">
          <cell r="C1311">
            <v>5401</v>
          </cell>
          <cell r="D1311" t="str">
            <v>Macy</v>
          </cell>
          <cell r="E1311" t="str">
            <v>Full Staff</v>
          </cell>
          <cell r="F1311" t="str">
            <v>Macys - VT1</v>
          </cell>
          <cell r="G1311" t="str">
            <v>Macy</v>
          </cell>
          <cell r="H1311" t="str">
            <v>SG_05_01 Sun Glass Hut_Macys FS_OWNED</v>
          </cell>
          <cell r="I1311" t="str">
            <v>0000005401 Perimeter Mall - Macy's</v>
          </cell>
          <cell r="J1311" t="str">
            <v>Department - VT1</v>
          </cell>
          <cell r="K1311">
            <v>0</v>
          </cell>
        </row>
        <row r="1312">
          <cell r="C1312">
            <v>5402</v>
          </cell>
          <cell r="D1312" t="str">
            <v>Macy</v>
          </cell>
          <cell r="E1312" t="str">
            <v>Full Staff</v>
          </cell>
          <cell r="F1312" t="str">
            <v>Macys - VT1</v>
          </cell>
          <cell r="G1312" t="str">
            <v>Macy</v>
          </cell>
          <cell r="H1312" t="str">
            <v>SG_05_01 Sun Glass Hut_Macys FS_OWNED</v>
          </cell>
          <cell r="I1312" t="str">
            <v>0000005402 North Point Mall - Macy's</v>
          </cell>
          <cell r="J1312" t="str">
            <v>Department - VT1</v>
          </cell>
          <cell r="K1312">
            <v>0</v>
          </cell>
        </row>
        <row r="1313">
          <cell r="C1313">
            <v>5403</v>
          </cell>
          <cell r="D1313" t="str">
            <v>Macy</v>
          </cell>
          <cell r="E1313" t="str">
            <v>Full Staff</v>
          </cell>
          <cell r="F1313" t="str">
            <v>Macys - VT3</v>
          </cell>
          <cell r="G1313" t="str">
            <v>Macy</v>
          </cell>
          <cell r="H1313" t="str">
            <v>SG_05_01 Sun Glass Hut_Macys FS_OWNED</v>
          </cell>
          <cell r="I1313" t="str">
            <v>0000005403 Gwinnett Place - Macy's</v>
          </cell>
          <cell r="J1313" t="str">
            <v>Department - VT3</v>
          </cell>
          <cell r="K1313">
            <v>0</v>
          </cell>
        </row>
        <row r="1314">
          <cell r="C1314">
            <v>5404</v>
          </cell>
          <cell r="D1314" t="str">
            <v>Macy</v>
          </cell>
          <cell r="E1314" t="str">
            <v>Full Staff</v>
          </cell>
          <cell r="F1314" t="str">
            <v>Macys - VT2</v>
          </cell>
          <cell r="G1314" t="str">
            <v>Macy</v>
          </cell>
          <cell r="H1314" t="str">
            <v>SG_05_01 Sun Glass Hut_Macys FS_OWNED</v>
          </cell>
          <cell r="I1314" t="str">
            <v>0000005404 Mall Of Georgia - Macy's</v>
          </cell>
          <cell r="J1314" t="str">
            <v>Department - VT2</v>
          </cell>
          <cell r="K1314">
            <v>0</v>
          </cell>
        </row>
        <row r="1315">
          <cell r="C1315">
            <v>5406</v>
          </cell>
          <cell r="D1315" t="str">
            <v>Macy</v>
          </cell>
          <cell r="E1315" t="str">
            <v>Full Staff</v>
          </cell>
          <cell r="F1315" t="str">
            <v>Macys - VT2</v>
          </cell>
          <cell r="G1315" t="str">
            <v>Macy</v>
          </cell>
          <cell r="H1315" t="str">
            <v>SG_05_01 Sun Glass Hut_Macys FS_OWNED</v>
          </cell>
          <cell r="I1315" t="str">
            <v>0000005406 Town Center at Cobb - Macy's</v>
          </cell>
          <cell r="J1315" t="str">
            <v>Department - VT2</v>
          </cell>
          <cell r="K1315">
            <v>0</v>
          </cell>
        </row>
        <row r="1316">
          <cell r="C1316">
            <v>5407</v>
          </cell>
          <cell r="D1316" t="str">
            <v>Macy</v>
          </cell>
          <cell r="E1316" t="str">
            <v>Full Staff</v>
          </cell>
          <cell r="F1316" t="str">
            <v>Macys - VT2</v>
          </cell>
          <cell r="G1316" t="str">
            <v>Macy</v>
          </cell>
          <cell r="H1316" t="str">
            <v>SG_05_01 Sun Glass Hut_Macys FS_OWNED</v>
          </cell>
          <cell r="I1316" t="str">
            <v>0000005407 Cumberland Mall - Macy's</v>
          </cell>
          <cell r="J1316" t="str">
            <v>Department - VT2</v>
          </cell>
          <cell r="K1316">
            <v>0</v>
          </cell>
        </row>
        <row r="1317">
          <cell r="C1317">
            <v>5408</v>
          </cell>
          <cell r="D1317" t="str">
            <v>Macy</v>
          </cell>
          <cell r="E1317" t="str">
            <v>Full Staff</v>
          </cell>
          <cell r="F1317" t="str">
            <v>Macys - VT3</v>
          </cell>
          <cell r="G1317" t="str">
            <v>Macy</v>
          </cell>
          <cell r="H1317" t="str">
            <v>SG_05_01 Sun Glass Hut_Macys FS_OWNED</v>
          </cell>
          <cell r="I1317" t="str">
            <v>0000005408 Southlake Mall - Macy's</v>
          </cell>
          <cell r="J1317" t="str">
            <v>Department - VT3</v>
          </cell>
          <cell r="K1317">
            <v>0</v>
          </cell>
        </row>
        <row r="1318">
          <cell r="C1318">
            <v>5409</v>
          </cell>
          <cell r="D1318" t="str">
            <v>Macy</v>
          </cell>
          <cell r="E1318" t="str">
            <v>Full Staff</v>
          </cell>
          <cell r="F1318" t="str">
            <v>Macys - VT3</v>
          </cell>
          <cell r="G1318" t="str">
            <v>Macy</v>
          </cell>
          <cell r="H1318" t="str">
            <v>SG_05_01 Sun Glass Hut_Macys FS_OWNED</v>
          </cell>
          <cell r="I1318" t="str">
            <v>0000005409 The Mall at Stonecrest - Macy'</v>
          </cell>
          <cell r="J1318" t="str">
            <v>Department - VT3</v>
          </cell>
          <cell r="K1318">
            <v>0</v>
          </cell>
        </row>
        <row r="1319">
          <cell r="C1319">
            <v>5416</v>
          </cell>
          <cell r="D1319" t="str">
            <v>Macy</v>
          </cell>
          <cell r="E1319" t="str">
            <v>Full Staff</v>
          </cell>
          <cell r="F1319" t="str">
            <v>Macys - VT3</v>
          </cell>
          <cell r="G1319" t="str">
            <v>Macy</v>
          </cell>
          <cell r="H1319" t="str">
            <v>SG_05_01 Sun Glass Hut_Macys FS_OWNED</v>
          </cell>
          <cell r="I1319" t="str">
            <v>0000005416 Augusta Mall - Macy's</v>
          </cell>
          <cell r="J1319" t="str">
            <v>Department - VT3</v>
          </cell>
          <cell r="K1319">
            <v>0</v>
          </cell>
        </row>
        <row r="1320">
          <cell r="C1320">
            <v>5420</v>
          </cell>
          <cell r="D1320" t="str">
            <v>Macy</v>
          </cell>
          <cell r="E1320" t="str">
            <v>Full Staff</v>
          </cell>
          <cell r="F1320" t="str">
            <v>Macys - VT1</v>
          </cell>
          <cell r="G1320" t="str">
            <v>Macy</v>
          </cell>
          <cell r="H1320" t="str">
            <v>SG_05_01 Sun Glass Hut_Macys FS_OWNED</v>
          </cell>
          <cell r="I1320" t="str">
            <v>0000005420 Willowbrook Mall - Macy's</v>
          </cell>
          <cell r="J1320" t="str">
            <v>Department - VT1</v>
          </cell>
          <cell r="K1320">
            <v>0</v>
          </cell>
        </row>
        <row r="1321">
          <cell r="C1321">
            <v>5421</v>
          </cell>
          <cell r="D1321" t="str">
            <v>Macy</v>
          </cell>
          <cell r="E1321" t="str">
            <v>Full Staff</v>
          </cell>
          <cell r="F1321" t="str">
            <v>Macys - VT1</v>
          </cell>
          <cell r="G1321" t="str">
            <v>Macy</v>
          </cell>
          <cell r="H1321" t="str">
            <v>SG_05_01 Sun Glass Hut_Macys FS_OWNED</v>
          </cell>
          <cell r="I1321" t="str">
            <v>0000005421 The Woodlands Mall - Macy's</v>
          </cell>
          <cell r="J1321" t="str">
            <v>Department - VT1</v>
          </cell>
          <cell r="K1321">
            <v>0</v>
          </cell>
        </row>
        <row r="1322">
          <cell r="C1322">
            <v>5422</v>
          </cell>
          <cell r="D1322" t="str">
            <v>Macy</v>
          </cell>
          <cell r="E1322" t="str">
            <v>Full Staff</v>
          </cell>
          <cell r="F1322" t="str">
            <v>Macys - VT2</v>
          </cell>
          <cell r="G1322" t="str">
            <v>Macy</v>
          </cell>
          <cell r="H1322" t="str">
            <v>SG_05_01 Sun Glass Hut_Macys FS_OWNED</v>
          </cell>
          <cell r="I1322" t="str">
            <v>0000005422 Baybrook Mall - Macy's</v>
          </cell>
          <cell r="J1322" t="str">
            <v>Department - VT2</v>
          </cell>
          <cell r="K1322">
            <v>0</v>
          </cell>
        </row>
        <row r="1323">
          <cell r="C1323">
            <v>5423</v>
          </cell>
          <cell r="D1323" t="str">
            <v>Macy</v>
          </cell>
          <cell r="E1323" t="str">
            <v>Full Staff</v>
          </cell>
          <cell r="F1323" t="str">
            <v>Macys - VT2</v>
          </cell>
          <cell r="G1323" t="str">
            <v>Macy</v>
          </cell>
          <cell r="H1323" t="str">
            <v>SG_05_01 Sun Glass Hut_Macys FS_OWNED</v>
          </cell>
          <cell r="I1323" t="str">
            <v>0000005423 Deerbrook Mall - Macy's</v>
          </cell>
          <cell r="J1323" t="str">
            <v>Department - VT2</v>
          </cell>
          <cell r="K1323">
            <v>0</v>
          </cell>
        </row>
        <row r="1324">
          <cell r="C1324">
            <v>5424</v>
          </cell>
          <cell r="D1324" t="str">
            <v>Macy</v>
          </cell>
          <cell r="E1324" t="str">
            <v>Full Staff</v>
          </cell>
          <cell r="F1324" t="str">
            <v>Macys - VT3</v>
          </cell>
          <cell r="G1324" t="str">
            <v>Macy</v>
          </cell>
          <cell r="H1324" t="str">
            <v>SG_05_01 Sun Glass Hut_Macys FS_OWNED</v>
          </cell>
          <cell r="I1324" t="str">
            <v>0000005424 Almeda Mall - Macy's</v>
          </cell>
          <cell r="J1324" t="str">
            <v>Department - VT3</v>
          </cell>
          <cell r="K1324">
            <v>0</v>
          </cell>
        </row>
        <row r="1325">
          <cell r="C1325">
            <v>5429</v>
          </cell>
          <cell r="D1325" t="str">
            <v>Macy</v>
          </cell>
          <cell r="E1325" t="str">
            <v>Full Staff</v>
          </cell>
          <cell r="F1325" t="str">
            <v>Macys - VT1</v>
          </cell>
          <cell r="G1325" t="str">
            <v>Macy</v>
          </cell>
          <cell r="H1325" t="str">
            <v>SG_05_01 Sun Glass Hut_Macys FS_OWNED</v>
          </cell>
          <cell r="I1325" t="str">
            <v>0000005429 Memorial City Mall - Macy's</v>
          </cell>
          <cell r="J1325" t="str">
            <v>Department - VT1</v>
          </cell>
          <cell r="K1325">
            <v>0</v>
          </cell>
        </row>
        <row r="1326">
          <cell r="C1326">
            <v>5430</v>
          </cell>
          <cell r="D1326" t="str">
            <v>Macy</v>
          </cell>
          <cell r="E1326" t="str">
            <v>Full Staff</v>
          </cell>
          <cell r="F1326" t="str">
            <v>Macys - VT1</v>
          </cell>
          <cell r="G1326" t="str">
            <v>Macy</v>
          </cell>
          <cell r="H1326" t="str">
            <v>SG_05_01 Sun Glass Hut_Macys FS_OWNED</v>
          </cell>
          <cell r="I1326" t="str">
            <v>0000005430 Houston Galleria - Macy's</v>
          </cell>
          <cell r="J1326" t="str">
            <v>Department - VT1</v>
          </cell>
          <cell r="K1326">
            <v>0</v>
          </cell>
        </row>
        <row r="1327">
          <cell r="C1327">
            <v>5431</v>
          </cell>
          <cell r="D1327" t="str">
            <v>Macy</v>
          </cell>
          <cell r="E1327" t="str">
            <v>Full Staff</v>
          </cell>
          <cell r="F1327" t="str">
            <v>Macys - VT2</v>
          </cell>
          <cell r="G1327" t="str">
            <v>Macy</v>
          </cell>
          <cell r="H1327" t="str">
            <v>SG_05_01 Sun Glass Hut_Macys FS_OWNED</v>
          </cell>
          <cell r="I1327" t="str">
            <v>0000005431 First Colony Mall - Macy's</v>
          </cell>
          <cell r="J1327" t="str">
            <v>Department - VT2</v>
          </cell>
          <cell r="K1327">
            <v>0</v>
          </cell>
        </row>
        <row r="1328">
          <cell r="C1328">
            <v>5433</v>
          </cell>
          <cell r="D1328" t="str">
            <v>Macy</v>
          </cell>
          <cell r="E1328" t="str">
            <v>Full Staff</v>
          </cell>
          <cell r="F1328" t="str">
            <v>Macys - VT3</v>
          </cell>
          <cell r="G1328" t="str">
            <v>Macy</v>
          </cell>
          <cell r="H1328" t="str">
            <v>SG_05_01 Sun Glass Hut_Macys FS_OWNED</v>
          </cell>
          <cell r="I1328" t="str">
            <v>0000005433 West Oaks Mall - Macy's</v>
          </cell>
          <cell r="J1328" t="str">
            <v>Department - VT3</v>
          </cell>
          <cell r="K1328">
            <v>0</v>
          </cell>
        </row>
        <row r="1329">
          <cell r="C1329">
            <v>5436</v>
          </cell>
          <cell r="D1329" t="str">
            <v>Macy</v>
          </cell>
          <cell r="E1329" t="str">
            <v>Full Staff</v>
          </cell>
          <cell r="F1329" t="str">
            <v>Macys - VT2</v>
          </cell>
          <cell r="G1329" t="str">
            <v>Macy</v>
          </cell>
          <cell r="H1329" t="str">
            <v>SG_05_01 Sun Glass Hut_Macys FS_OWNED</v>
          </cell>
          <cell r="I1329" t="str">
            <v>0000005436 San Jacinto Mall - Macy's</v>
          </cell>
          <cell r="J1329" t="str">
            <v>Department - VT2</v>
          </cell>
          <cell r="K1329">
            <v>0</v>
          </cell>
        </row>
        <row r="1330">
          <cell r="C1330">
            <v>5437</v>
          </cell>
          <cell r="D1330" t="str">
            <v>Macy</v>
          </cell>
          <cell r="E1330" t="str">
            <v>Full Staff</v>
          </cell>
          <cell r="F1330" t="str">
            <v>Macys - VT2</v>
          </cell>
          <cell r="G1330" t="str">
            <v>Macy</v>
          </cell>
          <cell r="H1330" t="str">
            <v>SG_05_01 Sun Glass Hut_Macys FS_OWNED</v>
          </cell>
          <cell r="I1330" t="str">
            <v>0000005437 Oak Court Mall - Macy's</v>
          </cell>
          <cell r="J1330" t="str">
            <v>Department - VT2</v>
          </cell>
          <cell r="K1330">
            <v>0</v>
          </cell>
        </row>
        <row r="1331">
          <cell r="C1331">
            <v>5438</v>
          </cell>
          <cell r="D1331" t="str">
            <v>Macy</v>
          </cell>
          <cell r="E1331" t="str">
            <v>Full Staff</v>
          </cell>
          <cell r="F1331" t="str">
            <v>Macys - VT1</v>
          </cell>
          <cell r="G1331" t="str">
            <v>Macy</v>
          </cell>
          <cell r="H1331" t="str">
            <v>SG_05_01 Sun Glass Hut_Macys FS_OWNED</v>
          </cell>
          <cell r="I1331" t="str">
            <v>0000005438 Oxmoor Center - Macy's</v>
          </cell>
          <cell r="J1331" t="str">
            <v>Department - VT1</v>
          </cell>
          <cell r="K1331">
            <v>0</v>
          </cell>
        </row>
        <row r="1332">
          <cell r="C1332">
            <v>5439</v>
          </cell>
          <cell r="D1332" t="str">
            <v>Macy</v>
          </cell>
          <cell r="E1332" t="str">
            <v>Full Staff</v>
          </cell>
          <cell r="F1332" t="str">
            <v>Macys - VT1</v>
          </cell>
          <cell r="G1332" t="str">
            <v>Macy</v>
          </cell>
          <cell r="H1332" t="str">
            <v>SG_05_01 Sun Glass Hut_Macys FS_OWNED</v>
          </cell>
          <cell r="I1332" t="str">
            <v>0000005439 Fayette Mall - Macy's</v>
          </cell>
          <cell r="J1332" t="str">
            <v>Department - VT1</v>
          </cell>
          <cell r="K1332">
            <v>0</v>
          </cell>
        </row>
        <row r="1333">
          <cell r="C1333">
            <v>5440</v>
          </cell>
          <cell r="D1333" t="str">
            <v>Macy</v>
          </cell>
          <cell r="E1333" t="str">
            <v>Full Staff</v>
          </cell>
          <cell r="F1333" t="str">
            <v>Macys - VT1</v>
          </cell>
          <cell r="G1333" t="str">
            <v>Macy</v>
          </cell>
          <cell r="H1333" t="str">
            <v>SG_05_01 Sun Glass Hut_Macys FS_OWNED</v>
          </cell>
          <cell r="I1333" t="str">
            <v>0000005440 La Plaza Mall - Macy's</v>
          </cell>
          <cell r="J1333" t="str">
            <v>Department - VT1</v>
          </cell>
          <cell r="K1333">
            <v>0</v>
          </cell>
        </row>
        <row r="1334">
          <cell r="C1334">
            <v>5441</v>
          </cell>
          <cell r="D1334" t="str">
            <v>Macy</v>
          </cell>
          <cell r="E1334" t="str">
            <v>Full Staff</v>
          </cell>
          <cell r="F1334" t="str">
            <v>Macys - VT2</v>
          </cell>
          <cell r="G1334" t="str">
            <v>Macy</v>
          </cell>
          <cell r="H1334" t="str">
            <v>SG_05_01 Sun Glass Hut_Macys FS_OWNED</v>
          </cell>
          <cell r="I1334" t="str">
            <v>0000005441 North Star Mall - Macy's</v>
          </cell>
          <cell r="J1334" t="str">
            <v>Department - VT2</v>
          </cell>
          <cell r="K1334">
            <v>0</v>
          </cell>
        </row>
        <row r="1335">
          <cell r="C1335">
            <v>5442</v>
          </cell>
          <cell r="D1335" t="str">
            <v>Macy</v>
          </cell>
          <cell r="E1335" t="str">
            <v>Full Staff</v>
          </cell>
          <cell r="F1335" t="str">
            <v>Macys - VT3</v>
          </cell>
          <cell r="G1335" t="str">
            <v>Macy</v>
          </cell>
          <cell r="H1335" t="str">
            <v>SG_05_01 Sun Glass Hut_Macys FS_OWNED</v>
          </cell>
          <cell r="I1335" t="str">
            <v>0000005442 Wolfchase Galleria - Macy's</v>
          </cell>
          <cell r="J1335" t="str">
            <v>Department - VT3</v>
          </cell>
          <cell r="K1335">
            <v>0</v>
          </cell>
        </row>
        <row r="1336">
          <cell r="C1336">
            <v>5443</v>
          </cell>
          <cell r="D1336" t="str">
            <v>Macy</v>
          </cell>
          <cell r="E1336" t="str">
            <v>Full Staff</v>
          </cell>
          <cell r="F1336" t="str">
            <v>Macys - VT2</v>
          </cell>
          <cell r="G1336" t="str">
            <v>Macy</v>
          </cell>
          <cell r="H1336" t="str">
            <v>SG_05_01 Sun Glass Hut_Macys FS_OWNED</v>
          </cell>
          <cell r="I1336" t="str">
            <v>0000005443 The Parks at Arlington - Macy'</v>
          </cell>
          <cell r="J1336" t="str">
            <v>Department - VT2</v>
          </cell>
          <cell r="K1336">
            <v>0</v>
          </cell>
        </row>
        <row r="1337">
          <cell r="C1337">
            <v>5444</v>
          </cell>
          <cell r="D1337" t="str">
            <v>Macy</v>
          </cell>
          <cell r="E1337" t="str">
            <v>Full Staff</v>
          </cell>
          <cell r="F1337" t="str">
            <v>Macys - VT3</v>
          </cell>
          <cell r="G1337" t="str">
            <v>Macy</v>
          </cell>
          <cell r="H1337" t="str">
            <v>SG_05_01 Sun Glass Hut_Macys FS_OWNED</v>
          </cell>
          <cell r="I1337" t="str">
            <v>0000005444 Regency Square - Macy's</v>
          </cell>
          <cell r="J1337" t="str">
            <v>Department - VT3</v>
          </cell>
          <cell r="K1337">
            <v>0</v>
          </cell>
        </row>
        <row r="1338">
          <cell r="C1338">
            <v>5446</v>
          </cell>
          <cell r="D1338" t="str">
            <v>Macy</v>
          </cell>
          <cell r="E1338" t="str">
            <v>Full Staff</v>
          </cell>
          <cell r="F1338" t="str">
            <v>Macys - VT1</v>
          </cell>
          <cell r="G1338" t="str">
            <v>Macy</v>
          </cell>
          <cell r="H1338" t="str">
            <v>SG_05_01 Sun Glass Hut_Macys FS_OWNED</v>
          </cell>
          <cell r="I1338" t="str">
            <v>0000005446 NorthPark Center - Macy's</v>
          </cell>
          <cell r="J1338" t="str">
            <v>Department - VT1</v>
          </cell>
          <cell r="K1338">
            <v>0</v>
          </cell>
        </row>
        <row r="1339">
          <cell r="C1339">
            <v>5447</v>
          </cell>
          <cell r="D1339" t="str">
            <v>Macy</v>
          </cell>
          <cell r="E1339" t="str">
            <v>Full Staff</v>
          </cell>
          <cell r="F1339" t="str">
            <v>Macys - VT3</v>
          </cell>
          <cell r="G1339" t="str">
            <v>Macy</v>
          </cell>
          <cell r="H1339" t="str">
            <v>SG_05_01 Sun Glass Hut_Macys FS_OWNED</v>
          </cell>
          <cell r="I1339" t="str">
            <v>0000005447 Colonial Brookwood Village - M</v>
          </cell>
          <cell r="J1339" t="str">
            <v>Department - VT3</v>
          </cell>
          <cell r="K1339">
            <v>0</v>
          </cell>
        </row>
        <row r="1340">
          <cell r="C1340">
            <v>5448</v>
          </cell>
          <cell r="D1340" t="str">
            <v>Macy</v>
          </cell>
          <cell r="E1340" t="str">
            <v>Full Staff</v>
          </cell>
          <cell r="F1340" t="str">
            <v>Macys - VT2</v>
          </cell>
          <cell r="G1340" t="str">
            <v>Macy</v>
          </cell>
          <cell r="H1340" t="str">
            <v>SG_05_01 Sun Glass Hut_Macys FS_OWNED</v>
          </cell>
          <cell r="I1340" t="str">
            <v>0000005448 Barton Creek Square - Macy's</v>
          </cell>
          <cell r="J1340" t="str">
            <v>Department - VT2</v>
          </cell>
          <cell r="K1340">
            <v>0</v>
          </cell>
        </row>
        <row r="1341">
          <cell r="C1341">
            <v>5449</v>
          </cell>
          <cell r="D1341" t="str">
            <v>Macy</v>
          </cell>
          <cell r="E1341" t="str">
            <v>Full Staff</v>
          </cell>
          <cell r="F1341" t="str">
            <v>Macys - VT1</v>
          </cell>
          <cell r="G1341" t="str">
            <v>Macy</v>
          </cell>
          <cell r="H1341" t="str">
            <v>SG_05_01 Sun Glass Hut_Macys FS_OWNED</v>
          </cell>
          <cell r="I1341" t="str">
            <v>0000005449 Galleria Dallas - Macy's</v>
          </cell>
          <cell r="J1341" t="str">
            <v>Department - VT1</v>
          </cell>
          <cell r="K1341">
            <v>0</v>
          </cell>
        </row>
        <row r="1342">
          <cell r="C1342">
            <v>5450</v>
          </cell>
          <cell r="D1342" t="str">
            <v>Macy</v>
          </cell>
          <cell r="E1342" t="str">
            <v>Full Staff</v>
          </cell>
          <cell r="F1342" t="str">
            <v>Macys - VT3</v>
          </cell>
          <cell r="G1342" t="str">
            <v>Macy</v>
          </cell>
          <cell r="H1342" t="str">
            <v>SG_05_01 Sun Glass Hut_Macys FS_OWNED</v>
          </cell>
          <cell r="I1342" t="str">
            <v>0000005450 Collin Creek Mall - Macy's</v>
          </cell>
          <cell r="J1342" t="str">
            <v>Department - VT3</v>
          </cell>
          <cell r="K1342">
            <v>0</v>
          </cell>
        </row>
        <row r="1343">
          <cell r="C1343">
            <v>5451</v>
          </cell>
          <cell r="D1343" t="str">
            <v>Macy</v>
          </cell>
          <cell r="E1343" t="str">
            <v>Full Staff</v>
          </cell>
          <cell r="F1343" t="str">
            <v>Macys - VT3</v>
          </cell>
          <cell r="G1343" t="str">
            <v>Macy</v>
          </cell>
          <cell r="H1343" t="str">
            <v>SG_05_01 Sun Glass Hut_Macys FS_OWNED</v>
          </cell>
          <cell r="I1343" t="str">
            <v>0000005451 Town East Mall - Macy's</v>
          </cell>
          <cell r="J1343" t="str">
            <v>Department - VT3</v>
          </cell>
          <cell r="K1343">
            <v>0</v>
          </cell>
        </row>
        <row r="1344">
          <cell r="C1344">
            <v>5452</v>
          </cell>
          <cell r="D1344" t="str">
            <v>Macy</v>
          </cell>
          <cell r="E1344" t="str">
            <v>Full Staff</v>
          </cell>
          <cell r="F1344" t="str">
            <v>Macys - VT2</v>
          </cell>
          <cell r="G1344" t="str">
            <v>Macy</v>
          </cell>
          <cell r="H1344" t="str">
            <v>SG_05_01 Sun Glass Hut_Macys FS_OWNED</v>
          </cell>
          <cell r="I1344" t="str">
            <v>0000005452 North East Mall - Macy's</v>
          </cell>
          <cell r="J1344" t="str">
            <v>Department - VT2</v>
          </cell>
          <cell r="K1344">
            <v>0</v>
          </cell>
        </row>
        <row r="1345">
          <cell r="C1345">
            <v>5453</v>
          </cell>
          <cell r="D1345" t="str">
            <v>Macy</v>
          </cell>
          <cell r="E1345" t="str">
            <v>Full Staff</v>
          </cell>
          <cell r="F1345" t="str">
            <v>Macys - VT3</v>
          </cell>
          <cell r="G1345" t="str">
            <v>Macy</v>
          </cell>
          <cell r="H1345" t="str">
            <v>SG_05_01 Sun Glass Hut_Macys FS_OWNED</v>
          </cell>
          <cell r="I1345" t="str">
            <v>0000005453 Lynnhaven Mall - Macy's</v>
          </cell>
          <cell r="J1345" t="str">
            <v>Department - VT3</v>
          </cell>
          <cell r="K1345">
            <v>0</v>
          </cell>
        </row>
        <row r="1346">
          <cell r="C1346">
            <v>5454</v>
          </cell>
          <cell r="D1346" t="str">
            <v>Macy</v>
          </cell>
          <cell r="E1346" t="str">
            <v>Full Staff</v>
          </cell>
          <cell r="F1346" t="str">
            <v>Macys - VT3</v>
          </cell>
          <cell r="G1346" t="str">
            <v>Macy</v>
          </cell>
          <cell r="H1346" t="str">
            <v>SG_05_01 Sun Glass Hut_Macys FS_OWNED</v>
          </cell>
          <cell r="I1346" t="str">
            <v>0000005454 Riverchase Galleria Mall - Mac</v>
          </cell>
          <cell r="J1346" t="str">
            <v>Department - VT3</v>
          </cell>
          <cell r="K1346">
            <v>0</v>
          </cell>
        </row>
        <row r="1347">
          <cell r="C1347">
            <v>5456</v>
          </cell>
          <cell r="D1347" t="str">
            <v>Macy</v>
          </cell>
          <cell r="E1347" t="str">
            <v>Full Staff</v>
          </cell>
          <cell r="F1347" t="str">
            <v>Macys - VT3</v>
          </cell>
          <cell r="G1347" t="str">
            <v>Macy</v>
          </cell>
          <cell r="H1347" t="str">
            <v>SG_05_01 Sun Glass Hut_Macys FS_OWNED</v>
          </cell>
          <cell r="I1347" t="str">
            <v>0000005456 Stonebriar Centre - Macy's</v>
          </cell>
          <cell r="J1347" t="str">
            <v>Department - VT3</v>
          </cell>
          <cell r="K1347">
            <v>0</v>
          </cell>
        </row>
        <row r="1348">
          <cell r="C1348">
            <v>5457</v>
          </cell>
          <cell r="D1348" t="str">
            <v>Macy</v>
          </cell>
          <cell r="E1348" t="str">
            <v>Full Staff</v>
          </cell>
          <cell r="F1348" t="str">
            <v>Macys - VT2</v>
          </cell>
          <cell r="G1348" t="str">
            <v>Macy</v>
          </cell>
          <cell r="H1348" t="str">
            <v>SG_05_01 Sun Glass Hut_Macys FS_OWNED</v>
          </cell>
          <cell r="I1348" t="str">
            <v>0000005457 Hulen Mall - Macy's</v>
          </cell>
          <cell r="J1348" t="str">
            <v>Department - VT2</v>
          </cell>
          <cell r="K1348">
            <v>0</v>
          </cell>
        </row>
        <row r="1349">
          <cell r="C1349">
            <v>5458</v>
          </cell>
          <cell r="D1349" t="str">
            <v>Macy</v>
          </cell>
          <cell r="E1349" t="str">
            <v>Full Staff</v>
          </cell>
          <cell r="F1349" t="str">
            <v>Macys - VT1</v>
          </cell>
          <cell r="G1349" t="str">
            <v>Macy</v>
          </cell>
          <cell r="H1349" t="str">
            <v>SG_05_01 Sun Glass Hut_Macys FS_OWNED</v>
          </cell>
          <cell r="I1349" t="str">
            <v>0000005458 Mall del Norte - Macy's</v>
          </cell>
          <cell r="J1349" t="str">
            <v>Department - VT1</v>
          </cell>
          <cell r="K1349">
            <v>0</v>
          </cell>
        </row>
        <row r="1350">
          <cell r="C1350">
            <v>5461</v>
          </cell>
          <cell r="D1350" t="str">
            <v>Macy</v>
          </cell>
          <cell r="E1350" t="str">
            <v>Full Staff</v>
          </cell>
          <cell r="F1350" t="str">
            <v>Macys - VT3</v>
          </cell>
          <cell r="G1350" t="str">
            <v>Macy</v>
          </cell>
          <cell r="H1350" t="str">
            <v>SG_05_01 Sun Glass Hut_Macys FS_OWNED</v>
          </cell>
          <cell r="I1350" t="str">
            <v>0000005461 Mall Of Louisiana - Macy's</v>
          </cell>
          <cell r="J1350" t="str">
            <v>Department - VT3</v>
          </cell>
          <cell r="K1350">
            <v>0</v>
          </cell>
        </row>
        <row r="1351">
          <cell r="C1351">
            <v>5462</v>
          </cell>
          <cell r="D1351" t="str">
            <v>Macy</v>
          </cell>
          <cell r="E1351" t="str">
            <v>Full Staff</v>
          </cell>
          <cell r="F1351" t="str">
            <v>Macys - VT3</v>
          </cell>
          <cell r="G1351" t="str">
            <v>Macy</v>
          </cell>
          <cell r="H1351" t="str">
            <v>SG_05_01 Sun Glass Hut_Macys FS_OWNED</v>
          </cell>
          <cell r="I1351" t="str">
            <v>0000005462 Old Hickory Mall - Macy's</v>
          </cell>
          <cell r="J1351" t="str">
            <v>Department - VT3</v>
          </cell>
          <cell r="K1351">
            <v>0</v>
          </cell>
        </row>
        <row r="1352">
          <cell r="C1352">
            <v>5463</v>
          </cell>
          <cell r="D1352" t="str">
            <v>Macy</v>
          </cell>
          <cell r="E1352" t="str">
            <v>Full Staff</v>
          </cell>
          <cell r="F1352" t="str">
            <v>Macys - VT2</v>
          </cell>
          <cell r="G1352" t="str">
            <v>Macy</v>
          </cell>
          <cell r="H1352" t="str">
            <v>SG_05_01 Sun Glass Hut_Macys FS_OWNED</v>
          </cell>
          <cell r="I1352" t="str">
            <v>0000005463 The Mall at Green Hills - Macy</v>
          </cell>
          <cell r="J1352" t="str">
            <v>Department - VT2</v>
          </cell>
          <cell r="K1352">
            <v>0</v>
          </cell>
        </row>
        <row r="1353">
          <cell r="C1353">
            <v>5464</v>
          </cell>
          <cell r="D1353" t="str">
            <v>Macy</v>
          </cell>
          <cell r="E1353" t="str">
            <v>Full Staff</v>
          </cell>
          <cell r="F1353" t="str">
            <v>Macys - VT3</v>
          </cell>
          <cell r="G1353" t="str">
            <v>Macy</v>
          </cell>
          <cell r="H1353" t="str">
            <v>SG_05_01 Sun Glass Hut_Macys FS_OWNED</v>
          </cell>
          <cell r="I1353" t="str">
            <v>0000005464 Cool Springs Galleria - Macy's</v>
          </cell>
          <cell r="J1353" t="str">
            <v>Department - VT3</v>
          </cell>
          <cell r="K1353">
            <v>0</v>
          </cell>
        </row>
        <row r="1354">
          <cell r="C1354">
            <v>5465</v>
          </cell>
          <cell r="D1354" t="str">
            <v>Macy</v>
          </cell>
          <cell r="E1354" t="str">
            <v>Full Staff</v>
          </cell>
          <cell r="F1354" t="str">
            <v>Macys - VT3</v>
          </cell>
          <cell r="G1354" t="str">
            <v>Macy</v>
          </cell>
          <cell r="H1354" t="str">
            <v>SG_05_01 Sun Glass Hut_Macys FS_OWNED</v>
          </cell>
          <cell r="I1354" t="str">
            <v>0000005465 Lakeline Mall - Macy's</v>
          </cell>
          <cell r="J1354" t="str">
            <v>Department - VT3</v>
          </cell>
          <cell r="K1354">
            <v>0</v>
          </cell>
        </row>
        <row r="1355">
          <cell r="C1355">
            <v>5467</v>
          </cell>
          <cell r="D1355" t="str">
            <v>Macy</v>
          </cell>
          <cell r="E1355" t="str">
            <v>Full Staff</v>
          </cell>
          <cell r="F1355" t="str">
            <v>Macys - VT2</v>
          </cell>
          <cell r="G1355" t="str">
            <v>Macy</v>
          </cell>
          <cell r="H1355" t="str">
            <v>SG_05_01 Sun Glass Hut_Macys FS_OWNED</v>
          </cell>
          <cell r="I1355" t="str">
            <v>0000005467 La Palmera - Macy's</v>
          </cell>
          <cell r="J1355" t="str">
            <v>Department - VT2</v>
          </cell>
          <cell r="K1355">
            <v>0</v>
          </cell>
        </row>
        <row r="1356">
          <cell r="C1356">
            <v>5469</v>
          </cell>
          <cell r="D1356" t="str">
            <v>Macy</v>
          </cell>
          <cell r="E1356" t="str">
            <v>Full Staff</v>
          </cell>
          <cell r="F1356" t="str">
            <v>Macys - VT3</v>
          </cell>
          <cell r="G1356" t="str">
            <v>Macy</v>
          </cell>
          <cell r="H1356" t="str">
            <v>SG_05_01 Sun Glass Hut_Macys FS_OWNED</v>
          </cell>
          <cell r="I1356" t="str">
            <v>0000005469 Vista Ridge Mall - Macy's</v>
          </cell>
          <cell r="J1356" t="str">
            <v>Department - VT3</v>
          </cell>
          <cell r="K1356">
            <v>0</v>
          </cell>
        </row>
        <row r="1357">
          <cell r="C1357">
            <v>5470</v>
          </cell>
          <cell r="D1357" t="str">
            <v>Macy</v>
          </cell>
          <cell r="E1357" t="str">
            <v>Full Staff</v>
          </cell>
          <cell r="F1357" t="str">
            <v>Macys - VT1</v>
          </cell>
          <cell r="G1357" t="str">
            <v>Macy</v>
          </cell>
          <cell r="H1357" t="str">
            <v>SG_05_01 Sun Glass Hut_Macys FS_OWNED</v>
          </cell>
          <cell r="I1357" t="str">
            <v>0000005470 The Shops at La Cantera - Macy</v>
          </cell>
          <cell r="J1357" t="str">
            <v>Department - VT1</v>
          </cell>
          <cell r="K1357">
            <v>0</v>
          </cell>
        </row>
        <row r="1358">
          <cell r="C1358">
            <v>5472</v>
          </cell>
          <cell r="D1358" t="str">
            <v>Macy</v>
          </cell>
          <cell r="E1358" t="str">
            <v>Full Staff</v>
          </cell>
          <cell r="F1358" t="str">
            <v>Macys - VT2</v>
          </cell>
          <cell r="G1358" t="str">
            <v>Macy</v>
          </cell>
          <cell r="H1358" t="str">
            <v>SG_05_01 Sun Glass Hut_Macys FS_OWNED</v>
          </cell>
          <cell r="I1358" t="str">
            <v>0000005472 Ingram Park Mall - Macy's</v>
          </cell>
          <cell r="J1358" t="str">
            <v>Department - VT2</v>
          </cell>
          <cell r="K1358">
            <v>0</v>
          </cell>
        </row>
        <row r="1359">
          <cell r="C1359">
            <v>5473</v>
          </cell>
          <cell r="D1359" t="str">
            <v>Macy</v>
          </cell>
          <cell r="E1359" t="str">
            <v>Full Staff</v>
          </cell>
          <cell r="F1359" t="str">
            <v>Macys - VT3</v>
          </cell>
          <cell r="G1359" t="str">
            <v>Macy</v>
          </cell>
          <cell r="H1359" t="str">
            <v>SG_05_01 Sun Glass Hut_Macys FS_OWNED</v>
          </cell>
          <cell r="I1359" t="str">
            <v>0000005473 Patrick Henry Mall - Macy's</v>
          </cell>
          <cell r="J1359" t="str">
            <v>Department - VT3</v>
          </cell>
          <cell r="K1359">
            <v>0</v>
          </cell>
        </row>
        <row r="1360">
          <cell r="C1360">
            <v>5475</v>
          </cell>
          <cell r="D1360" t="str">
            <v>Macy</v>
          </cell>
          <cell r="E1360" t="str">
            <v>Full Staff</v>
          </cell>
          <cell r="F1360" t="str">
            <v>Macys - VT3</v>
          </cell>
          <cell r="G1360" t="str">
            <v>Macy</v>
          </cell>
          <cell r="H1360" t="str">
            <v>SG_05_01 Sun Glass Hut_Macys FS_OWNED</v>
          </cell>
          <cell r="I1360" t="str">
            <v>0000005475 Short Pump Town Center - Macy'</v>
          </cell>
          <cell r="J1360" t="str">
            <v>Department - VT3</v>
          </cell>
          <cell r="K1360">
            <v>0</v>
          </cell>
        </row>
        <row r="1361">
          <cell r="C1361">
            <v>5476</v>
          </cell>
          <cell r="D1361" t="str">
            <v>Macy</v>
          </cell>
          <cell r="E1361" t="str">
            <v>Full Staff</v>
          </cell>
          <cell r="F1361" t="str">
            <v>Macys - VT3</v>
          </cell>
          <cell r="G1361" t="str">
            <v>Macy</v>
          </cell>
          <cell r="H1361" t="str">
            <v>SG_05_01 Sun Glass Hut_Macys FS_OWNED</v>
          </cell>
          <cell r="I1361" t="str">
            <v>0000005476 Friendly Center - Macy's</v>
          </cell>
          <cell r="J1361" t="str">
            <v>Department - VT3</v>
          </cell>
          <cell r="K1361">
            <v>0</v>
          </cell>
        </row>
        <row r="1362">
          <cell r="C1362">
            <v>5481</v>
          </cell>
          <cell r="D1362" t="str">
            <v>Macy</v>
          </cell>
          <cell r="E1362" t="str">
            <v>Full Staff</v>
          </cell>
          <cell r="F1362" t="str">
            <v>Macys - VT3</v>
          </cell>
          <cell r="G1362" t="str">
            <v>Macy</v>
          </cell>
          <cell r="H1362" t="str">
            <v>SG_05_01 Sun Glass Hut_Macys FS_OWNED</v>
          </cell>
          <cell r="I1362" t="str">
            <v>0000005481 Haywood Mall - Macy's</v>
          </cell>
          <cell r="J1362" t="str">
            <v>Department - VT3</v>
          </cell>
          <cell r="K1362">
            <v>0</v>
          </cell>
        </row>
        <row r="1363">
          <cell r="C1363">
            <v>5492</v>
          </cell>
          <cell r="D1363" t="str">
            <v>Macy</v>
          </cell>
          <cell r="E1363" t="str">
            <v>Full Staff</v>
          </cell>
          <cell r="F1363" t="str">
            <v>Macys - VT3</v>
          </cell>
          <cell r="G1363" t="str">
            <v>Macy</v>
          </cell>
          <cell r="H1363" t="str">
            <v>SG_05_01 Sun Glass Hut_Macys FS_OWNED</v>
          </cell>
          <cell r="I1363" t="str">
            <v>0000005492 Cross Creek Mall - Macy's</v>
          </cell>
          <cell r="J1363" t="str">
            <v>Department - VT3</v>
          </cell>
          <cell r="K1363">
            <v>0</v>
          </cell>
        </row>
        <row r="1364">
          <cell r="C1364">
            <v>5499</v>
          </cell>
          <cell r="D1364" t="str">
            <v>Macy</v>
          </cell>
          <cell r="E1364" t="str">
            <v>Full Staff</v>
          </cell>
          <cell r="F1364" t="str">
            <v>Macys - VT3</v>
          </cell>
          <cell r="G1364" t="str">
            <v>Macy</v>
          </cell>
          <cell r="H1364" t="str">
            <v>SG_05_01 Sun Glass Hut_Macys FS_OWNED</v>
          </cell>
          <cell r="I1364" t="str">
            <v>0000005499 South Park Mall - Macy's</v>
          </cell>
          <cell r="J1364" t="str">
            <v>Department - VT3</v>
          </cell>
          <cell r="K1364">
            <v>0</v>
          </cell>
        </row>
        <row r="1365">
          <cell r="C1365">
            <v>5501</v>
          </cell>
          <cell r="D1365" t="str">
            <v>Macy</v>
          </cell>
          <cell r="E1365" t="str">
            <v>Full Staff</v>
          </cell>
          <cell r="F1365" t="str">
            <v>Macys - VT3</v>
          </cell>
          <cell r="G1365" t="str">
            <v>Macy</v>
          </cell>
          <cell r="H1365" t="str">
            <v>SG_05_01 Sun Glass Hut_Macys FS_OWNED</v>
          </cell>
          <cell r="I1365" t="str">
            <v>0000005501 Post Oak Mall - Macy's</v>
          </cell>
          <cell r="J1365" t="str">
            <v>Department - VT3</v>
          </cell>
          <cell r="K1365">
            <v>0</v>
          </cell>
        </row>
        <row r="1366">
          <cell r="C1366">
            <v>5524</v>
          </cell>
          <cell r="D1366" t="str">
            <v>Macy</v>
          </cell>
          <cell r="E1366" t="str">
            <v>Full Staff</v>
          </cell>
          <cell r="F1366" t="str">
            <v>Macys - VT1</v>
          </cell>
          <cell r="G1366" t="str">
            <v>Macy</v>
          </cell>
          <cell r="H1366" t="str">
            <v>SG_05_01 Sun Glass Hut_Macys FS_OWNED</v>
          </cell>
          <cell r="I1366" t="str">
            <v>0000005524 The Domain - Macy's</v>
          </cell>
          <cell r="J1366" t="str">
            <v>Department - VT1</v>
          </cell>
          <cell r="K1366">
            <v>0</v>
          </cell>
        </row>
        <row r="1367">
          <cell r="C1367">
            <v>5548</v>
          </cell>
          <cell r="D1367" t="str">
            <v>Macy</v>
          </cell>
          <cell r="E1367" t="str">
            <v>Full Staff</v>
          </cell>
          <cell r="F1367" t="str">
            <v>Macys - VT1</v>
          </cell>
          <cell r="G1367" t="str">
            <v>Macy</v>
          </cell>
          <cell r="H1367" t="str">
            <v>SG_05_01 Sun Glass Hut_Macys FS_OWNED</v>
          </cell>
          <cell r="I1367" t="str">
            <v>0000005548 Plaza las Americas - Macy's</v>
          </cell>
          <cell r="J1367" t="str">
            <v>Department - VT1</v>
          </cell>
          <cell r="K1367">
            <v>0</v>
          </cell>
        </row>
        <row r="1368">
          <cell r="C1368">
            <v>5552</v>
          </cell>
          <cell r="D1368" t="str">
            <v>Macy</v>
          </cell>
          <cell r="E1368" t="str">
            <v>Full Staff</v>
          </cell>
          <cell r="F1368" t="str">
            <v>Macys - VT3</v>
          </cell>
          <cell r="G1368" t="str">
            <v>Macy</v>
          </cell>
          <cell r="H1368" t="str">
            <v>SG_05_01 Sun Glass Hut_Macys FS_OWNED</v>
          </cell>
          <cell r="I1368" t="str">
            <v>0000005552 The Shops at Wiregrass - Macy'</v>
          </cell>
          <cell r="J1368" t="str">
            <v>Department - VT3</v>
          </cell>
          <cell r="K1368">
            <v>0</v>
          </cell>
        </row>
        <row r="1369">
          <cell r="C1369">
            <v>5683</v>
          </cell>
          <cell r="D1369" t="str">
            <v>Macy</v>
          </cell>
          <cell r="E1369" t="str">
            <v>Full Staff</v>
          </cell>
          <cell r="F1369" t="str">
            <v>Macys - VT3</v>
          </cell>
          <cell r="G1369" t="str">
            <v>Macy</v>
          </cell>
          <cell r="H1369" t="str">
            <v>SG_05_01 Sun Glass Hut_Macys FS_OWNED</v>
          </cell>
          <cell r="I1369" t="str">
            <v>0000005683 Pearland Town Center - Macy's</v>
          </cell>
          <cell r="J1369" t="str">
            <v>Department - VT3</v>
          </cell>
          <cell r="K1369">
            <v>0</v>
          </cell>
        </row>
        <row r="1370">
          <cell r="C1370">
            <v>5684</v>
          </cell>
          <cell r="D1370" t="str">
            <v>Macy</v>
          </cell>
          <cell r="E1370" t="str">
            <v>Full Staff</v>
          </cell>
          <cell r="F1370" t="str">
            <v>Macys - VT3</v>
          </cell>
          <cell r="G1370" t="str">
            <v>Macy</v>
          </cell>
          <cell r="H1370" t="str">
            <v>SG_05_01 Sun Glass Hut_Macys FS_OWNED</v>
          </cell>
          <cell r="I1370" t="str">
            <v>0000005684 The Esplanade - Macy's</v>
          </cell>
          <cell r="J1370" t="str">
            <v>Department - VT3</v>
          </cell>
          <cell r="K1370">
            <v>0</v>
          </cell>
        </row>
        <row r="1371">
          <cell r="C1371">
            <v>5685</v>
          </cell>
          <cell r="D1371" t="str">
            <v>Macy</v>
          </cell>
          <cell r="E1371" t="str">
            <v>Full Staff</v>
          </cell>
          <cell r="F1371" t="str">
            <v>Macys - VT3</v>
          </cell>
          <cell r="G1371" t="str">
            <v>Macy</v>
          </cell>
          <cell r="H1371" t="str">
            <v>SG_05_01 Sun Glass Hut_Macys FS_OWNED</v>
          </cell>
          <cell r="I1371" t="str">
            <v>0000005685 The Village at Fairview - Macy</v>
          </cell>
          <cell r="J1371" t="str">
            <v>Department - VT3</v>
          </cell>
          <cell r="K1371">
            <v>0</v>
          </cell>
        </row>
        <row r="1372">
          <cell r="C1372">
            <v>5686</v>
          </cell>
          <cell r="D1372" t="str">
            <v>Macy</v>
          </cell>
          <cell r="E1372" t="str">
            <v>Full Staff</v>
          </cell>
          <cell r="F1372" t="str">
            <v>Macys - VT2</v>
          </cell>
          <cell r="G1372" t="str">
            <v>Macy</v>
          </cell>
          <cell r="H1372" t="str">
            <v>SG_05_01 Sun Glass Hut_Macys FS_OWNED</v>
          </cell>
          <cell r="I1372" t="str">
            <v>0000005686 Lakeside Shopping Center - Mac</v>
          </cell>
          <cell r="J1372" t="str">
            <v>Department - VT2</v>
          </cell>
          <cell r="K1372">
            <v>0</v>
          </cell>
        </row>
        <row r="1373">
          <cell r="C1373">
            <v>5688</v>
          </cell>
          <cell r="D1373" t="str">
            <v>Macy</v>
          </cell>
          <cell r="E1373" t="str">
            <v>Full Staff</v>
          </cell>
          <cell r="F1373" t="str">
            <v>Macys - Men</v>
          </cell>
          <cell r="G1373" t="str">
            <v>Macy</v>
          </cell>
          <cell r="H1373" t="str">
            <v>SG_05_01 Sun Glass Hut_Macys FS_OWNED</v>
          </cell>
          <cell r="I1373" t="str">
            <v>0000005688 Town Center at Cobb - Macy's M</v>
          </cell>
          <cell r="J1373" t="str">
            <v>Department - Mens</v>
          </cell>
          <cell r="K1373">
            <v>0</v>
          </cell>
        </row>
        <row r="1374">
          <cell r="C1374">
            <v>5722</v>
          </cell>
          <cell r="D1374" t="str">
            <v>Macy</v>
          </cell>
          <cell r="E1374" t="str">
            <v>Full Staff</v>
          </cell>
          <cell r="F1374" t="str">
            <v>Macys - VT1</v>
          </cell>
          <cell r="G1374" t="str">
            <v>Macy</v>
          </cell>
          <cell r="H1374" t="str">
            <v>SG_05_01 Sun Glass Hut_Macys FS_OWNED</v>
          </cell>
          <cell r="I1374" t="str">
            <v>0000005722 Kenwood Towne Centre - Macy's</v>
          </cell>
          <cell r="J1374" t="str">
            <v>Department - VT1</v>
          </cell>
          <cell r="K1374">
            <v>0</v>
          </cell>
        </row>
        <row r="1375">
          <cell r="C1375">
            <v>5723</v>
          </cell>
          <cell r="D1375" t="str">
            <v>Macy</v>
          </cell>
          <cell r="E1375" t="str">
            <v>Full Staff</v>
          </cell>
          <cell r="F1375" t="str">
            <v>Macys - VT2</v>
          </cell>
          <cell r="G1375" t="str">
            <v>Macy</v>
          </cell>
          <cell r="H1375" t="str">
            <v>SG_05_01 Sun Glass Hut_Macys FS_OWNED</v>
          </cell>
          <cell r="I1375" t="str">
            <v>0000005723 Castleton Square - Macy's</v>
          </cell>
          <cell r="J1375" t="str">
            <v>Department - VT2</v>
          </cell>
          <cell r="K1375">
            <v>0</v>
          </cell>
        </row>
        <row r="1376">
          <cell r="C1376">
            <v>5724</v>
          </cell>
          <cell r="D1376" t="str">
            <v>Macy</v>
          </cell>
          <cell r="E1376" t="str">
            <v>Full Staff</v>
          </cell>
          <cell r="F1376" t="str">
            <v>Macys - VT2</v>
          </cell>
          <cell r="G1376" t="str">
            <v>Macy</v>
          </cell>
          <cell r="H1376" t="str">
            <v>SG_05_01 Sun Glass Hut_Macys FS_OWNED</v>
          </cell>
          <cell r="I1376" t="str">
            <v>0000005724 Easton Town Center  - Macy's</v>
          </cell>
          <cell r="J1376" t="str">
            <v>Department - VT2</v>
          </cell>
          <cell r="K1376">
            <v>0</v>
          </cell>
        </row>
        <row r="1377">
          <cell r="C1377">
            <v>5725</v>
          </cell>
          <cell r="D1377" t="str">
            <v>Macy</v>
          </cell>
          <cell r="E1377" t="str">
            <v>Full Staff</v>
          </cell>
          <cell r="F1377" t="str">
            <v>Macys - VT2</v>
          </cell>
          <cell r="G1377" t="str">
            <v>Macy</v>
          </cell>
          <cell r="H1377" t="str">
            <v>SG_05_01 Sun Glass Hut_Macys FS_OWNED</v>
          </cell>
          <cell r="I1377" t="str">
            <v>0000005725 Saint Louis Galleria - Macy's</v>
          </cell>
          <cell r="J1377" t="str">
            <v>Department - VT2</v>
          </cell>
          <cell r="K1377">
            <v>0</v>
          </cell>
        </row>
        <row r="1378">
          <cell r="C1378">
            <v>5726</v>
          </cell>
          <cell r="D1378" t="str">
            <v>Macy</v>
          </cell>
          <cell r="E1378" t="str">
            <v>Full Staff</v>
          </cell>
          <cell r="F1378" t="str">
            <v>Macys - VT2</v>
          </cell>
          <cell r="G1378" t="str">
            <v>Macy</v>
          </cell>
          <cell r="H1378" t="str">
            <v>SG_05_01 Sun Glass Hut_Macys FS_OWNED</v>
          </cell>
          <cell r="I1378" t="str">
            <v>0000005726 Ross Park Mall - Macy's</v>
          </cell>
          <cell r="J1378" t="str">
            <v>Department - VT2</v>
          </cell>
          <cell r="K1378">
            <v>0</v>
          </cell>
        </row>
        <row r="1379">
          <cell r="C1379">
            <v>5727</v>
          </cell>
          <cell r="D1379" t="str">
            <v>Macy</v>
          </cell>
          <cell r="E1379" t="str">
            <v>Full Staff</v>
          </cell>
          <cell r="F1379" t="str">
            <v>Macys - VT3</v>
          </cell>
          <cell r="G1379" t="str">
            <v>Macy</v>
          </cell>
          <cell r="H1379" t="str">
            <v>SG_05_01 Sun Glass Hut_Macys FS_OWNED</v>
          </cell>
          <cell r="I1379" t="str">
            <v>0000005727 South Hills Village - Macy's</v>
          </cell>
          <cell r="J1379" t="str">
            <v>Department - VT3</v>
          </cell>
          <cell r="K1379">
            <v>0</v>
          </cell>
        </row>
        <row r="1380">
          <cell r="C1380">
            <v>5728</v>
          </cell>
          <cell r="D1380" t="str">
            <v>Macy</v>
          </cell>
          <cell r="E1380" t="str">
            <v>Full Staff</v>
          </cell>
          <cell r="F1380" t="str">
            <v>Macys - VT3</v>
          </cell>
          <cell r="G1380" t="str">
            <v>Macy</v>
          </cell>
          <cell r="H1380" t="str">
            <v>SG_05_01 Sun Glass Hut_Macys FS_OWNED</v>
          </cell>
          <cell r="I1380" t="str">
            <v>0000005728 West County Center - Macy's</v>
          </cell>
          <cell r="J1380" t="str">
            <v>Department - VT3</v>
          </cell>
          <cell r="K1380">
            <v>0</v>
          </cell>
        </row>
        <row r="1381">
          <cell r="C1381">
            <v>5729</v>
          </cell>
          <cell r="D1381" t="str">
            <v>Macy</v>
          </cell>
          <cell r="E1381" t="str">
            <v>Full Staff</v>
          </cell>
          <cell r="F1381" t="str">
            <v>Macys - VT3</v>
          </cell>
          <cell r="G1381" t="str">
            <v>Macy</v>
          </cell>
          <cell r="H1381" t="str">
            <v>SG_05_01 Sun Glass Hut_Macys FS_OWNED</v>
          </cell>
          <cell r="I1381" t="str">
            <v>0000005729 Mall at Tuttle Crossing - Macy</v>
          </cell>
          <cell r="J1381" t="str">
            <v>Department - VT3</v>
          </cell>
          <cell r="K1381">
            <v>0</v>
          </cell>
        </row>
        <row r="1382">
          <cell r="C1382">
            <v>5730</v>
          </cell>
          <cell r="D1382" t="str">
            <v>Macy</v>
          </cell>
          <cell r="E1382" t="str">
            <v>Full Staff</v>
          </cell>
          <cell r="F1382" t="str">
            <v>Macys - VT3</v>
          </cell>
          <cell r="G1382" t="str">
            <v>Macy</v>
          </cell>
          <cell r="H1382" t="str">
            <v>SG_05_01 Sun Glass Hut_Macys FS_OWNED</v>
          </cell>
          <cell r="I1382" t="str">
            <v>0000005730 Glenbrook Square Mall - Macy's</v>
          </cell>
          <cell r="J1382" t="str">
            <v>Department - VT3</v>
          </cell>
          <cell r="K1382">
            <v>0</v>
          </cell>
        </row>
        <row r="1383">
          <cell r="C1383">
            <v>5731</v>
          </cell>
          <cell r="D1383" t="str">
            <v>Macy</v>
          </cell>
          <cell r="E1383" t="str">
            <v>Full Staff</v>
          </cell>
          <cell r="F1383" t="str">
            <v>Macys - VT3</v>
          </cell>
          <cell r="G1383" t="str">
            <v>Macy</v>
          </cell>
          <cell r="H1383" t="str">
            <v>SG_05_01 Sun Glass Hut_Macys FS_OWNED</v>
          </cell>
          <cell r="I1383" t="str">
            <v>0000005731 St Clair Square - Macy's</v>
          </cell>
          <cell r="J1383" t="str">
            <v>Department - VT3</v>
          </cell>
          <cell r="K1383">
            <v>0</v>
          </cell>
        </row>
        <row r="1384">
          <cell r="C1384">
            <v>5732</v>
          </cell>
          <cell r="D1384" t="str">
            <v>Macy</v>
          </cell>
          <cell r="E1384" t="str">
            <v>Full Staff</v>
          </cell>
          <cell r="F1384" t="str">
            <v>Macys - VT2</v>
          </cell>
          <cell r="G1384" t="str">
            <v>Macy</v>
          </cell>
          <cell r="H1384" t="str">
            <v>SG_05_01 Sun Glass Hut_Macys FS_OWNED</v>
          </cell>
          <cell r="I1384" t="str">
            <v>0000005732 Polaris Fashion Place - Macy's</v>
          </cell>
          <cell r="J1384" t="str">
            <v>Department - VT2</v>
          </cell>
          <cell r="K1384">
            <v>0</v>
          </cell>
        </row>
        <row r="1385">
          <cell r="C1385">
            <v>5733</v>
          </cell>
          <cell r="D1385" t="str">
            <v>Macy</v>
          </cell>
          <cell r="E1385" t="str">
            <v>Full Staff</v>
          </cell>
          <cell r="F1385" t="str">
            <v>Macys - VT3</v>
          </cell>
          <cell r="G1385" t="str">
            <v>Macy</v>
          </cell>
          <cell r="H1385" t="str">
            <v>SG_05_01 Sun Glass Hut_Macys FS_OWNED</v>
          </cell>
          <cell r="I1385" t="str">
            <v>0000005733 Chesterfield Mall - Macy's</v>
          </cell>
          <cell r="J1385" t="str">
            <v>Department - VT3</v>
          </cell>
          <cell r="K1385">
            <v>0</v>
          </cell>
        </row>
        <row r="1386">
          <cell r="C1386">
            <v>5734</v>
          </cell>
          <cell r="D1386" t="str">
            <v>Macy</v>
          </cell>
          <cell r="E1386" t="str">
            <v>Full Staff</v>
          </cell>
          <cell r="F1386" t="str">
            <v>Macys - VT3</v>
          </cell>
          <cell r="G1386" t="str">
            <v>Macy</v>
          </cell>
          <cell r="H1386" t="str">
            <v>SG_05_01 Sun Glass Hut_Macys FS_OWNED</v>
          </cell>
          <cell r="I1386" t="str">
            <v>0000005734 Monroeville Mall - Macy's</v>
          </cell>
          <cell r="J1386" t="str">
            <v>Department - VT3</v>
          </cell>
          <cell r="K1386">
            <v>0</v>
          </cell>
        </row>
        <row r="1387">
          <cell r="C1387">
            <v>5735</v>
          </cell>
          <cell r="D1387" t="str">
            <v>Macy</v>
          </cell>
          <cell r="E1387" t="str">
            <v>Full Staff</v>
          </cell>
          <cell r="F1387" t="str">
            <v>Macys - VT2</v>
          </cell>
          <cell r="G1387" t="str">
            <v>Macy</v>
          </cell>
          <cell r="H1387" t="str">
            <v>SG_05_01 Sun Glass Hut_Macys FS_OWNED</v>
          </cell>
          <cell r="I1387" t="str">
            <v>0000005735 The Mall at Robinson - Macy's</v>
          </cell>
          <cell r="J1387" t="str">
            <v>Department - VT2</v>
          </cell>
          <cell r="K1387">
            <v>0</v>
          </cell>
        </row>
        <row r="1388">
          <cell r="C1388">
            <v>5736</v>
          </cell>
          <cell r="D1388" t="str">
            <v>Macy</v>
          </cell>
          <cell r="E1388" t="str">
            <v>Full Staff</v>
          </cell>
          <cell r="F1388" t="str">
            <v>Macys - VT3</v>
          </cell>
          <cell r="G1388" t="str">
            <v>Macy</v>
          </cell>
          <cell r="H1388" t="str">
            <v>SG_05_01 Sun Glass Hut_Macys FS_OWNED</v>
          </cell>
          <cell r="I1388" t="str">
            <v>0000005736 Summit Mall - Macy's</v>
          </cell>
          <cell r="J1388" t="str">
            <v>Department - VT3</v>
          </cell>
          <cell r="K1388">
            <v>0</v>
          </cell>
        </row>
        <row r="1389">
          <cell r="C1389">
            <v>5737</v>
          </cell>
          <cell r="D1389" t="str">
            <v>Macy</v>
          </cell>
          <cell r="E1389" t="str">
            <v>Full Staff</v>
          </cell>
          <cell r="F1389" t="str">
            <v>Macys - VT3</v>
          </cell>
          <cell r="G1389" t="str">
            <v>Macy</v>
          </cell>
          <cell r="H1389" t="str">
            <v>SG_05_01 Sun Glass Hut_Macys FS_OWNED</v>
          </cell>
          <cell r="I1389" t="str">
            <v>0000005737 Great Northern Mall - Macy's</v>
          </cell>
          <cell r="J1389" t="str">
            <v>Department - VT3</v>
          </cell>
          <cell r="K1389">
            <v>0</v>
          </cell>
        </row>
        <row r="1390">
          <cell r="C1390">
            <v>5738</v>
          </cell>
          <cell r="D1390" t="str">
            <v>Macy</v>
          </cell>
          <cell r="E1390" t="str">
            <v>Full Staff</v>
          </cell>
          <cell r="F1390" t="str">
            <v>Macys - VT3</v>
          </cell>
          <cell r="G1390" t="str">
            <v>Macy</v>
          </cell>
          <cell r="H1390" t="str">
            <v>SG_05_01 Sun Glass Hut_Macys FS_OWNED</v>
          </cell>
          <cell r="I1390" t="str">
            <v>0000005738 Dayton Mall - Macy's</v>
          </cell>
          <cell r="J1390" t="str">
            <v>Department - VT3</v>
          </cell>
          <cell r="K1390">
            <v>0</v>
          </cell>
        </row>
        <row r="1391">
          <cell r="C1391">
            <v>5739</v>
          </cell>
          <cell r="D1391" t="str">
            <v>Macy</v>
          </cell>
          <cell r="E1391" t="str">
            <v>Full Staff</v>
          </cell>
          <cell r="F1391" t="str">
            <v>Macys - VT3</v>
          </cell>
          <cell r="G1391" t="str">
            <v>Macy</v>
          </cell>
          <cell r="H1391" t="str">
            <v>SG_05_01 Sun Glass Hut_Macys FS_OWNED</v>
          </cell>
          <cell r="I1391" t="str">
            <v>0000005739 Downtown Pittsburgh - Macy's</v>
          </cell>
          <cell r="J1391" t="str">
            <v>Department - VT3</v>
          </cell>
          <cell r="K1391">
            <v>0</v>
          </cell>
        </row>
        <row r="1392">
          <cell r="C1392">
            <v>5740</v>
          </cell>
          <cell r="D1392" t="str">
            <v>Macy</v>
          </cell>
          <cell r="E1392" t="str">
            <v>Full Staff</v>
          </cell>
          <cell r="F1392" t="str">
            <v>Macys - VT3</v>
          </cell>
          <cell r="G1392" t="str">
            <v>Macy</v>
          </cell>
          <cell r="H1392" t="str">
            <v>SG_05_01 Sun Glass Hut_Macys FS_OWNED</v>
          </cell>
          <cell r="I1392" t="str">
            <v>0000005740 Oak Park Mall - Macy's</v>
          </cell>
          <cell r="J1392" t="str">
            <v>Department - VT3</v>
          </cell>
          <cell r="K1392">
            <v>0</v>
          </cell>
        </row>
        <row r="1393">
          <cell r="C1393">
            <v>5741</v>
          </cell>
          <cell r="D1393" t="str">
            <v>Macy</v>
          </cell>
          <cell r="E1393" t="str">
            <v>Full Staff</v>
          </cell>
          <cell r="F1393" t="str">
            <v>Macys - VT3</v>
          </cell>
          <cell r="G1393" t="str">
            <v>Macy</v>
          </cell>
          <cell r="H1393" t="str">
            <v>SG_05_01 Sun Glass Hut_Macys FS_OWNED</v>
          </cell>
          <cell r="I1393" t="str">
            <v>0000005741 Westmoreland Mall - Macy's</v>
          </cell>
          <cell r="J1393" t="str">
            <v>Department - VT3</v>
          </cell>
          <cell r="K1393">
            <v>0</v>
          </cell>
        </row>
        <row r="1394">
          <cell r="C1394">
            <v>5742</v>
          </cell>
          <cell r="D1394" t="str">
            <v>Macy</v>
          </cell>
          <cell r="E1394" t="str">
            <v>Full Staff</v>
          </cell>
          <cell r="F1394" t="str">
            <v>Macys - VT3</v>
          </cell>
          <cell r="G1394" t="str">
            <v>Macy</v>
          </cell>
          <cell r="H1394" t="str">
            <v>SG_05_01 Sun Glass Hut_Macys FS_OWNED</v>
          </cell>
          <cell r="I1394" t="str">
            <v>0000005742 Eastland Mall - Macy's</v>
          </cell>
          <cell r="J1394" t="str">
            <v>Department - VT3</v>
          </cell>
          <cell r="K1394">
            <v>0</v>
          </cell>
        </row>
        <row r="1395">
          <cell r="C1395">
            <v>5743</v>
          </cell>
          <cell r="D1395" t="str">
            <v>Macy</v>
          </cell>
          <cell r="E1395" t="str">
            <v>Full Staff</v>
          </cell>
          <cell r="F1395" t="str">
            <v>Macys - VT3</v>
          </cell>
          <cell r="G1395" t="str">
            <v>Macy</v>
          </cell>
          <cell r="H1395" t="str">
            <v>SG_05_01 Sun Glass Hut_Macys FS_OWNED</v>
          </cell>
          <cell r="I1395" t="str">
            <v>0000005743 Florence Mall - Macy's</v>
          </cell>
          <cell r="J1395" t="str">
            <v>Department - VT3</v>
          </cell>
          <cell r="K1395">
            <v>0</v>
          </cell>
        </row>
        <row r="1396">
          <cell r="C1396">
            <v>5744</v>
          </cell>
          <cell r="D1396" t="str">
            <v>Macy</v>
          </cell>
          <cell r="E1396" t="str">
            <v>Full Staff</v>
          </cell>
          <cell r="F1396" t="str">
            <v>Macys - VT3</v>
          </cell>
          <cell r="G1396" t="str">
            <v>Macy</v>
          </cell>
          <cell r="H1396" t="str">
            <v>SG_05_01 Sun Glass Hut_Macys FS_OWNED</v>
          </cell>
          <cell r="I1396" t="str">
            <v>0000005744 Mid Rivers Mall - Macy's</v>
          </cell>
          <cell r="J1396" t="str">
            <v>Department - VT3</v>
          </cell>
          <cell r="K1396">
            <v>0</v>
          </cell>
        </row>
        <row r="1397">
          <cell r="C1397">
            <v>5745</v>
          </cell>
          <cell r="D1397" t="str">
            <v>Macy</v>
          </cell>
          <cell r="E1397" t="str">
            <v>Full Staff</v>
          </cell>
          <cell r="F1397" t="str">
            <v>Macys - VT3</v>
          </cell>
          <cell r="G1397" t="str">
            <v>Macy</v>
          </cell>
          <cell r="H1397" t="str">
            <v>SG_05_01 Sun Glass Hut_Macys FS_OWNED</v>
          </cell>
          <cell r="I1397" t="str">
            <v>0000005745 South County Center - Macy's</v>
          </cell>
          <cell r="J1397" t="str">
            <v>Department - VT3</v>
          </cell>
          <cell r="K1397">
            <v>0</v>
          </cell>
        </row>
        <row r="1398">
          <cell r="C1398">
            <v>5746</v>
          </cell>
          <cell r="D1398" t="str">
            <v>Macy</v>
          </cell>
          <cell r="E1398" t="str">
            <v>Full Staff</v>
          </cell>
          <cell r="F1398" t="str">
            <v>Macys - VT3</v>
          </cell>
          <cell r="G1398" t="str">
            <v>Macy</v>
          </cell>
          <cell r="H1398" t="str">
            <v>SG_05_01 Sun Glass Hut_Macys FS_OWNED</v>
          </cell>
          <cell r="I1398" t="str">
            <v>0000005746 University Park Mall - Macy's</v>
          </cell>
          <cell r="J1398" t="str">
            <v>Department - VT3</v>
          </cell>
          <cell r="K1398">
            <v>0</v>
          </cell>
        </row>
        <row r="1399">
          <cell r="C1399">
            <v>5747</v>
          </cell>
          <cell r="D1399" t="str">
            <v>Macy</v>
          </cell>
          <cell r="E1399" t="str">
            <v>Full Staff</v>
          </cell>
          <cell r="F1399" t="str">
            <v>Macys - VT3</v>
          </cell>
          <cell r="G1399" t="str">
            <v>Macy</v>
          </cell>
          <cell r="H1399" t="str">
            <v>SG_05_01 Sun Glass Hut_Macys FS_OWNED</v>
          </cell>
          <cell r="I1399" t="str">
            <v>0000005747 Tri - County Mall - Macy's</v>
          </cell>
          <cell r="J1399" t="str">
            <v>Department - VT3</v>
          </cell>
          <cell r="K1399">
            <v>0</v>
          </cell>
        </row>
        <row r="1400">
          <cell r="C1400">
            <v>5748</v>
          </cell>
          <cell r="D1400" t="str">
            <v>Macy</v>
          </cell>
          <cell r="E1400" t="str">
            <v>Full Staff</v>
          </cell>
          <cell r="F1400" t="str">
            <v>Macys - VT2</v>
          </cell>
          <cell r="G1400" t="str">
            <v>Macy</v>
          </cell>
          <cell r="H1400" t="str">
            <v>SG_05_01 Sun Glass Hut_Macys FS_OWNED</v>
          </cell>
          <cell r="I1400" t="str">
            <v>0000005748 Town Center Plaza - Macy's</v>
          </cell>
          <cell r="J1400" t="str">
            <v>Department - VT2</v>
          </cell>
          <cell r="K1400">
            <v>0</v>
          </cell>
        </row>
        <row r="1401">
          <cell r="C1401">
            <v>5870</v>
          </cell>
          <cell r="D1401" t="str">
            <v>Macy</v>
          </cell>
          <cell r="E1401" t="str">
            <v>Full Staff</v>
          </cell>
          <cell r="F1401" t="str">
            <v>Macys - VT3</v>
          </cell>
          <cell r="G1401" t="str">
            <v>Macy</v>
          </cell>
          <cell r="H1401" t="str">
            <v>SG_05_01 Sun Glass Hut_Macys FS_OWNED</v>
          </cell>
          <cell r="I1401" t="str">
            <v>0000005870 Clackamas Town Center - Macy's</v>
          </cell>
          <cell r="J1401" t="str">
            <v>Department - VT3</v>
          </cell>
          <cell r="K1401">
            <v>0</v>
          </cell>
        </row>
        <row r="1402">
          <cell r="C1402">
            <v>5871</v>
          </cell>
          <cell r="D1402" t="str">
            <v>Macy</v>
          </cell>
          <cell r="E1402" t="str">
            <v>Full Staff</v>
          </cell>
          <cell r="F1402" t="str">
            <v>Macys - VT1</v>
          </cell>
          <cell r="G1402" t="str">
            <v>Macy</v>
          </cell>
          <cell r="H1402" t="str">
            <v>SG_05_01 Sun Glass Hut_Macys FS_OWNED</v>
          </cell>
          <cell r="I1402" t="str">
            <v>0000005871 Stonewood Center - Macy's</v>
          </cell>
          <cell r="J1402" t="str">
            <v>Department - VT1</v>
          </cell>
          <cell r="K1402">
            <v>0</v>
          </cell>
        </row>
        <row r="1403">
          <cell r="C1403">
            <v>5872</v>
          </cell>
          <cell r="D1403" t="str">
            <v>Macy</v>
          </cell>
          <cell r="E1403" t="str">
            <v>Full Staff</v>
          </cell>
          <cell r="F1403" t="str">
            <v>Macys - VT2</v>
          </cell>
          <cell r="G1403" t="str">
            <v>Macy</v>
          </cell>
          <cell r="H1403" t="str">
            <v>SG_05_01 Sun Glass Hut_Macys FS_OWNED</v>
          </cell>
          <cell r="I1403" t="str">
            <v>0000005872 Santa Anita - Macy's</v>
          </cell>
          <cell r="J1403" t="str">
            <v>Department - VT2</v>
          </cell>
          <cell r="K1403">
            <v>0</v>
          </cell>
        </row>
        <row r="1404">
          <cell r="C1404">
            <v>5873</v>
          </cell>
          <cell r="D1404" t="str">
            <v>Macy</v>
          </cell>
          <cell r="E1404" t="str">
            <v>Full Staff</v>
          </cell>
          <cell r="F1404" t="str">
            <v>Macys - VT3</v>
          </cell>
          <cell r="G1404" t="str">
            <v>Macy</v>
          </cell>
          <cell r="H1404" t="str">
            <v>SG_05_01 Sun Glass Hut_Macys FS_OWNED</v>
          </cell>
          <cell r="I1404" t="str">
            <v>0000005873 Oakridge Mall - Macy's</v>
          </cell>
          <cell r="J1404" t="str">
            <v>Department - VT3</v>
          </cell>
          <cell r="K1404">
            <v>0</v>
          </cell>
        </row>
        <row r="1405">
          <cell r="C1405">
            <v>5874</v>
          </cell>
          <cell r="D1405" t="str">
            <v>Macy</v>
          </cell>
          <cell r="E1405" t="str">
            <v>Full Staff</v>
          </cell>
          <cell r="F1405" t="str">
            <v>Macys - VT3</v>
          </cell>
          <cell r="G1405" t="str">
            <v>Macy</v>
          </cell>
          <cell r="H1405" t="str">
            <v>SG_05_01 Sun Glass Hut_Macys FS_OWNED</v>
          </cell>
          <cell r="I1405" t="str">
            <v>0000005874 Pearlridge Center - Macy's</v>
          </cell>
          <cell r="J1405" t="str">
            <v>Department - VT3</v>
          </cell>
          <cell r="K1405">
            <v>0</v>
          </cell>
        </row>
        <row r="1406">
          <cell r="C1406">
            <v>5875</v>
          </cell>
          <cell r="D1406" t="str">
            <v>Macy</v>
          </cell>
          <cell r="E1406" t="str">
            <v>Full Staff</v>
          </cell>
          <cell r="F1406" t="str">
            <v>Macys - VT1</v>
          </cell>
          <cell r="G1406" t="str">
            <v>Macy</v>
          </cell>
          <cell r="H1406" t="str">
            <v>SG_05_01 Sun Glass Hut_Macys FS_OWNED</v>
          </cell>
          <cell r="I1406" t="str">
            <v>0000005875 Santa Rosa Plaza - Macy's</v>
          </cell>
          <cell r="J1406" t="str">
            <v>Department - VT1</v>
          </cell>
          <cell r="K1406">
            <v>0</v>
          </cell>
        </row>
        <row r="1407">
          <cell r="C1407">
            <v>5876</v>
          </cell>
          <cell r="D1407" t="str">
            <v>Macy</v>
          </cell>
          <cell r="E1407" t="str">
            <v>Full Staff</v>
          </cell>
          <cell r="F1407" t="str">
            <v>Macys - VT2</v>
          </cell>
          <cell r="G1407" t="str">
            <v>Macy</v>
          </cell>
          <cell r="H1407" t="str">
            <v>SG_05_01 Sun Glass Hut_Macys FS_OWNED</v>
          </cell>
          <cell r="I1407" t="str">
            <v>0000005876 Lakewood Center - Macy's</v>
          </cell>
          <cell r="J1407" t="str">
            <v>Department - VT2</v>
          </cell>
          <cell r="K1407">
            <v>0</v>
          </cell>
        </row>
        <row r="1408">
          <cell r="C1408">
            <v>5877</v>
          </cell>
          <cell r="D1408" t="str">
            <v>Macy</v>
          </cell>
          <cell r="E1408" t="str">
            <v>Full Staff</v>
          </cell>
          <cell r="F1408" t="str">
            <v>Macys - VT1</v>
          </cell>
          <cell r="G1408" t="str">
            <v>Macy</v>
          </cell>
          <cell r="H1408" t="str">
            <v>SG_05_01 Sun Glass Hut_Macys FS_OWNED</v>
          </cell>
          <cell r="I1408" t="str">
            <v>0000005877 Topanga Plaza - Macy's</v>
          </cell>
          <cell r="J1408" t="str">
            <v>Department - VT1</v>
          </cell>
          <cell r="K1408">
            <v>0</v>
          </cell>
        </row>
        <row r="1409">
          <cell r="C1409">
            <v>5878</v>
          </cell>
          <cell r="D1409" t="str">
            <v>Macy</v>
          </cell>
          <cell r="E1409" t="str">
            <v>Full Staff</v>
          </cell>
          <cell r="F1409" t="str">
            <v>Macys - VT3</v>
          </cell>
          <cell r="G1409" t="str">
            <v>Macy</v>
          </cell>
          <cell r="H1409" t="str">
            <v>SG_05_01 Sun Glass Hut_Macys FS_OWNED</v>
          </cell>
          <cell r="I1409" t="str">
            <v>0000005878 Sunrise Mall - Macy's</v>
          </cell>
          <cell r="J1409" t="str">
            <v>Department - VT3</v>
          </cell>
          <cell r="K1409">
            <v>0</v>
          </cell>
        </row>
        <row r="1410">
          <cell r="C1410">
            <v>5879</v>
          </cell>
          <cell r="D1410" t="str">
            <v>Macy</v>
          </cell>
          <cell r="E1410" t="str">
            <v>Full Staff</v>
          </cell>
          <cell r="F1410" t="str">
            <v>Macys - VT2</v>
          </cell>
          <cell r="G1410" t="str">
            <v>Macy</v>
          </cell>
          <cell r="H1410" t="str">
            <v>SG_05_01 Sun Glass Hut_Macys FS_OWNED</v>
          </cell>
          <cell r="I1410" t="str">
            <v>0000005879 Promenade Temecula - Macy's</v>
          </cell>
          <cell r="J1410" t="str">
            <v>Department - VT2</v>
          </cell>
          <cell r="K1410">
            <v>0</v>
          </cell>
        </row>
        <row r="1411">
          <cell r="C1411">
            <v>5880</v>
          </cell>
          <cell r="D1411" t="str">
            <v>Macy</v>
          </cell>
          <cell r="E1411" t="str">
            <v>Full Staff</v>
          </cell>
          <cell r="F1411" t="str">
            <v>Macys - VT2</v>
          </cell>
          <cell r="G1411" t="str">
            <v>Macy</v>
          </cell>
          <cell r="H1411" t="str">
            <v>SG_05_01 Sun Glass Hut_Macys FS_OWNED</v>
          </cell>
          <cell r="I1411" t="str">
            <v>0000005880 Del Monte Center - Macy's</v>
          </cell>
          <cell r="J1411" t="str">
            <v>Department - VT2</v>
          </cell>
          <cell r="K1411">
            <v>0</v>
          </cell>
        </row>
        <row r="1412">
          <cell r="C1412">
            <v>5881</v>
          </cell>
          <cell r="D1412" t="str">
            <v>Macy</v>
          </cell>
          <cell r="E1412" t="str">
            <v>Full Staff</v>
          </cell>
          <cell r="F1412" t="str">
            <v>Macys - VT2</v>
          </cell>
          <cell r="G1412" t="str">
            <v>Macy</v>
          </cell>
          <cell r="H1412" t="str">
            <v>SG_05_01 Sun Glass Hut_Macys FS_OWNED</v>
          </cell>
          <cell r="I1412" t="str">
            <v>0000005881 Burbank Town Center - Macy's</v>
          </cell>
          <cell r="J1412" t="str">
            <v>Department - VT2</v>
          </cell>
          <cell r="K1412">
            <v>0</v>
          </cell>
        </row>
        <row r="1413">
          <cell r="C1413">
            <v>5882</v>
          </cell>
          <cell r="D1413" t="str">
            <v>Macy</v>
          </cell>
          <cell r="E1413" t="str">
            <v>Full Staff</v>
          </cell>
          <cell r="F1413" t="str">
            <v>Macys - VT2</v>
          </cell>
          <cell r="G1413" t="str">
            <v>Macy</v>
          </cell>
          <cell r="H1413" t="str">
            <v>SG_05_01 Sun Glass Hut_Macys FS_OWNED</v>
          </cell>
          <cell r="I1413" t="str">
            <v>0000005882 Mainplace Mall - Macy's</v>
          </cell>
          <cell r="J1413" t="str">
            <v>Department - VT2</v>
          </cell>
          <cell r="K1413">
            <v>0</v>
          </cell>
        </row>
        <row r="1414">
          <cell r="C1414">
            <v>5883</v>
          </cell>
          <cell r="D1414" t="str">
            <v>Macy</v>
          </cell>
          <cell r="E1414" t="str">
            <v>Full Staff</v>
          </cell>
          <cell r="F1414" t="str">
            <v>Macys - VT3</v>
          </cell>
          <cell r="G1414" t="str">
            <v>Macy</v>
          </cell>
          <cell r="H1414" t="str">
            <v>SG_05_01 Sun Glass Hut_Macys FS_OWNED</v>
          </cell>
          <cell r="I1414" t="str">
            <v>0000005883 Plaza Camino Real - Macy's</v>
          </cell>
          <cell r="J1414" t="str">
            <v>Department - VT3</v>
          </cell>
          <cell r="K1414">
            <v>0</v>
          </cell>
        </row>
        <row r="1415">
          <cell r="C1415">
            <v>5884</v>
          </cell>
          <cell r="D1415" t="str">
            <v>Macy</v>
          </cell>
          <cell r="E1415" t="str">
            <v>Full Staff</v>
          </cell>
          <cell r="F1415" t="str">
            <v>Macys - VT1</v>
          </cell>
          <cell r="G1415" t="str">
            <v>Macy</v>
          </cell>
          <cell r="H1415" t="str">
            <v>SG_05_01 Sun Glass Hut_Macys FS_OWNED</v>
          </cell>
          <cell r="I1415" t="str">
            <v>0000005884 Los Cerritos Center - Macy's</v>
          </cell>
          <cell r="J1415" t="str">
            <v>Department - VT1</v>
          </cell>
          <cell r="K1415">
            <v>0</v>
          </cell>
        </row>
        <row r="1416">
          <cell r="C1416">
            <v>5885</v>
          </cell>
          <cell r="D1416" t="str">
            <v>Macy</v>
          </cell>
          <cell r="E1416" t="str">
            <v>Full Staff</v>
          </cell>
          <cell r="F1416" t="str">
            <v>Macys - VT3</v>
          </cell>
          <cell r="G1416" t="str">
            <v>Macy</v>
          </cell>
          <cell r="H1416" t="str">
            <v>SG_05_01 Sun Glass Hut_Macys FS_OWNED</v>
          </cell>
          <cell r="I1416" t="str">
            <v>0000005885 Northgate Mall - Macy's</v>
          </cell>
          <cell r="J1416" t="str">
            <v>Department - VT3</v>
          </cell>
          <cell r="K1416">
            <v>0</v>
          </cell>
        </row>
        <row r="1417">
          <cell r="C1417">
            <v>5886</v>
          </cell>
          <cell r="D1417" t="str">
            <v>Macy</v>
          </cell>
          <cell r="E1417" t="str">
            <v>Full Staff</v>
          </cell>
          <cell r="F1417" t="str">
            <v>Macys - VT2</v>
          </cell>
          <cell r="G1417" t="str">
            <v>Macy</v>
          </cell>
          <cell r="H1417" t="str">
            <v>SG_05_01 Sun Glass Hut_Macys FS_OWNED</v>
          </cell>
          <cell r="I1417" t="str">
            <v>0000005886 Cherry Creek Shopping Ctr - Ma</v>
          </cell>
          <cell r="J1417" t="str">
            <v>Department - VT2</v>
          </cell>
          <cell r="K1417">
            <v>0</v>
          </cell>
        </row>
        <row r="1418">
          <cell r="C1418">
            <v>5887</v>
          </cell>
          <cell r="D1418" t="str">
            <v>Macy</v>
          </cell>
          <cell r="E1418" t="str">
            <v>Full Staff</v>
          </cell>
          <cell r="F1418" t="str">
            <v>Macys - VT2</v>
          </cell>
          <cell r="G1418" t="str">
            <v>Macy</v>
          </cell>
          <cell r="H1418" t="str">
            <v>SG_05_01 Sun Glass Hut_Macys FS_OWNED</v>
          </cell>
          <cell r="I1418" t="str">
            <v>0000005887 Scottsdale Fashion Square - Ma</v>
          </cell>
          <cell r="J1418" t="str">
            <v>Department - VT2</v>
          </cell>
          <cell r="K1418">
            <v>0</v>
          </cell>
        </row>
        <row r="1419">
          <cell r="C1419">
            <v>5888</v>
          </cell>
          <cell r="D1419" t="str">
            <v>Macy</v>
          </cell>
          <cell r="E1419" t="str">
            <v>Full Staff</v>
          </cell>
          <cell r="F1419" t="str">
            <v>Macys - VT2</v>
          </cell>
          <cell r="G1419" t="str">
            <v>Macy</v>
          </cell>
          <cell r="H1419" t="str">
            <v>SG_05_01 Sun Glass Hut_Macys FS_OWNED</v>
          </cell>
          <cell r="I1419" t="str">
            <v>0000005888 Fashion Island - Macy's</v>
          </cell>
          <cell r="J1419" t="str">
            <v>Department - VT2</v>
          </cell>
          <cell r="K1419">
            <v>0</v>
          </cell>
        </row>
        <row r="1420">
          <cell r="C1420">
            <v>5889</v>
          </cell>
          <cell r="D1420" t="str">
            <v>Macy</v>
          </cell>
          <cell r="E1420" t="str">
            <v>Full Staff</v>
          </cell>
          <cell r="F1420" t="str">
            <v>Macys - VT1</v>
          </cell>
          <cell r="G1420" t="str">
            <v>Macy</v>
          </cell>
          <cell r="H1420" t="str">
            <v>SG_05_01 Sun Glass Hut_Macys FS_OWNED</v>
          </cell>
          <cell r="I1420" t="str">
            <v>0000005889 West Covina Mall - Macy's</v>
          </cell>
          <cell r="J1420" t="str">
            <v>Department - VT1</v>
          </cell>
          <cell r="K1420">
            <v>0</v>
          </cell>
        </row>
        <row r="1421">
          <cell r="C1421">
            <v>5890</v>
          </cell>
          <cell r="D1421" t="str">
            <v>Macy</v>
          </cell>
          <cell r="E1421" t="str">
            <v>Full Staff</v>
          </cell>
          <cell r="F1421" t="str">
            <v>Macys - VT3</v>
          </cell>
          <cell r="G1421" t="str">
            <v>Macy</v>
          </cell>
          <cell r="H1421" t="str">
            <v>SG_05_01 Sun Glass Hut_Macys FS_OWNED</v>
          </cell>
          <cell r="I1421" t="str">
            <v>0000005890 Stonestown Galleria - Macy's</v>
          </cell>
          <cell r="J1421" t="str">
            <v>Department - VT3</v>
          </cell>
          <cell r="K1421">
            <v>0</v>
          </cell>
        </row>
        <row r="1422">
          <cell r="C1422">
            <v>5891</v>
          </cell>
          <cell r="D1422" t="str">
            <v>Macy</v>
          </cell>
          <cell r="E1422" t="str">
            <v>Full Staff</v>
          </cell>
          <cell r="F1422" t="str">
            <v>Macys - VT1</v>
          </cell>
          <cell r="G1422" t="str">
            <v>Macy</v>
          </cell>
          <cell r="H1422" t="str">
            <v>SG_05_01 Sun Glass Hut_Macys FS_OWNED</v>
          </cell>
          <cell r="I1422" t="str">
            <v>0000005891 The Shops at Montebello - Macy</v>
          </cell>
          <cell r="J1422" t="str">
            <v>Department - VT1</v>
          </cell>
          <cell r="K1422">
            <v>0</v>
          </cell>
        </row>
        <row r="1423">
          <cell r="C1423">
            <v>5892</v>
          </cell>
          <cell r="D1423" t="str">
            <v>Macy</v>
          </cell>
          <cell r="E1423" t="str">
            <v>Full Staff</v>
          </cell>
          <cell r="F1423" t="str">
            <v>Macys - VT3</v>
          </cell>
          <cell r="G1423" t="str">
            <v>Macy</v>
          </cell>
          <cell r="H1423" t="str">
            <v>SG_05_01 Sun Glass Hut_Macys FS_OWNED</v>
          </cell>
          <cell r="I1423" t="str">
            <v>0000005892 Westside Pavilion - Macy's</v>
          </cell>
          <cell r="J1423" t="str">
            <v>Department - VT3</v>
          </cell>
          <cell r="K1423">
            <v>0</v>
          </cell>
        </row>
        <row r="1424">
          <cell r="C1424">
            <v>5893</v>
          </cell>
          <cell r="D1424" t="str">
            <v>Macy</v>
          </cell>
          <cell r="E1424" t="str">
            <v>Full Staff</v>
          </cell>
          <cell r="F1424" t="str">
            <v>Macys - VT3</v>
          </cell>
          <cell r="G1424" t="str">
            <v>Macy</v>
          </cell>
          <cell r="H1424" t="str">
            <v>SG_05_01 Sun Glass Hut_Macys FS_OWNED</v>
          </cell>
          <cell r="I1424" t="str">
            <v>0000005893 NewPark Mall - Macy's</v>
          </cell>
          <cell r="J1424" t="str">
            <v>Department - VT3</v>
          </cell>
          <cell r="K1424">
            <v>0</v>
          </cell>
        </row>
        <row r="1425">
          <cell r="C1425">
            <v>5894</v>
          </cell>
          <cell r="D1425" t="str">
            <v>Macy</v>
          </cell>
          <cell r="E1425" t="str">
            <v>Full Staff</v>
          </cell>
          <cell r="F1425" t="str">
            <v>Macys - VT3</v>
          </cell>
          <cell r="G1425" t="str">
            <v>Macy</v>
          </cell>
          <cell r="H1425" t="str">
            <v>SG_05_01 Sun Glass Hut_Macys FS_OWNED</v>
          </cell>
          <cell r="I1425" t="str">
            <v>0000005894 Boise Towne Square - Macy's</v>
          </cell>
          <cell r="J1425" t="str">
            <v>Department - VT3</v>
          </cell>
          <cell r="K1425">
            <v>0</v>
          </cell>
        </row>
        <row r="1426">
          <cell r="C1426">
            <v>5895</v>
          </cell>
          <cell r="D1426" t="str">
            <v>Macy</v>
          </cell>
          <cell r="E1426" t="str">
            <v>Full Staff</v>
          </cell>
          <cell r="F1426" t="str">
            <v>Macys - VT2</v>
          </cell>
          <cell r="G1426" t="str">
            <v>Macy</v>
          </cell>
          <cell r="H1426" t="str">
            <v>SG_05_01 Sun Glass Hut_Macys FS_OWNED</v>
          </cell>
          <cell r="I1426" t="str">
            <v>0000005895 Manhattan Village - Macy's</v>
          </cell>
          <cell r="J1426" t="str">
            <v>Department - VT2</v>
          </cell>
          <cell r="K1426">
            <v>0</v>
          </cell>
        </row>
        <row r="1427">
          <cell r="C1427">
            <v>5896</v>
          </cell>
          <cell r="D1427" t="str">
            <v>Macy</v>
          </cell>
          <cell r="E1427" t="str">
            <v>Full Staff</v>
          </cell>
          <cell r="F1427" t="str">
            <v>Macys - VT2</v>
          </cell>
          <cell r="G1427" t="str">
            <v>Macy</v>
          </cell>
          <cell r="H1427" t="str">
            <v>SG_05_01 Sun Glass Hut_Macys FS_OWNED</v>
          </cell>
          <cell r="I1427" t="str">
            <v>0000005896 Valencia Town Center - Macy's</v>
          </cell>
          <cell r="J1427" t="str">
            <v>Department - VT2</v>
          </cell>
          <cell r="K1427">
            <v>0</v>
          </cell>
        </row>
        <row r="1428">
          <cell r="C1428">
            <v>5897</v>
          </cell>
          <cell r="D1428" t="str">
            <v>Macy</v>
          </cell>
          <cell r="E1428" t="str">
            <v>Full Staff</v>
          </cell>
          <cell r="F1428" t="str">
            <v>Macys - VT3</v>
          </cell>
          <cell r="G1428" t="str">
            <v>Macy</v>
          </cell>
          <cell r="H1428" t="str">
            <v>SG_05_01 Sun Glass Hut_Macys FS_OWNED</v>
          </cell>
          <cell r="I1428" t="str">
            <v>0000005897 Park Meadows Mall - Macy's</v>
          </cell>
          <cell r="J1428" t="str">
            <v>Department - VT3</v>
          </cell>
          <cell r="K1428">
            <v>0</v>
          </cell>
        </row>
        <row r="1429">
          <cell r="C1429">
            <v>5898</v>
          </cell>
          <cell r="D1429" t="str">
            <v>Macy</v>
          </cell>
          <cell r="E1429" t="str">
            <v>Full Staff</v>
          </cell>
          <cell r="F1429" t="str">
            <v>Macys - VT2</v>
          </cell>
          <cell r="G1429" t="str">
            <v>Macy</v>
          </cell>
          <cell r="H1429" t="str">
            <v>SG_05_01 Sun Glass Hut_Macys FS_OWNED</v>
          </cell>
          <cell r="I1429" t="str">
            <v>0000005898 Biltmore Fashion Park - Macy's</v>
          </cell>
          <cell r="J1429" t="str">
            <v>Department - VT2</v>
          </cell>
          <cell r="K1429">
            <v>0</v>
          </cell>
        </row>
        <row r="1430">
          <cell r="C1430">
            <v>5899</v>
          </cell>
          <cell r="D1430" t="str">
            <v>Macy</v>
          </cell>
          <cell r="E1430" t="str">
            <v>Full Staff</v>
          </cell>
          <cell r="F1430" t="str">
            <v>Macys - VT2</v>
          </cell>
          <cell r="G1430" t="str">
            <v>Macy</v>
          </cell>
          <cell r="H1430" t="str">
            <v>SG_05_01 Sun Glass Hut_Macys FS_OWNED</v>
          </cell>
          <cell r="I1430" t="str">
            <v>0000005899 Pacific View - Macy's</v>
          </cell>
          <cell r="J1430" t="str">
            <v>Department - VT2</v>
          </cell>
          <cell r="K1430">
            <v>0</v>
          </cell>
        </row>
        <row r="1431">
          <cell r="C1431">
            <v>5900</v>
          </cell>
          <cell r="D1431" t="str">
            <v>Macy</v>
          </cell>
          <cell r="E1431" t="str">
            <v>Full Staff</v>
          </cell>
          <cell r="F1431" t="str">
            <v>Macys - VT2</v>
          </cell>
          <cell r="G1431" t="str">
            <v>Macy</v>
          </cell>
          <cell r="H1431" t="str">
            <v>SG_05_01 Sun Glass Hut_Macys FS_OWNED</v>
          </cell>
          <cell r="I1431" t="str">
            <v>0000005900 Northgate Mall - Macy's</v>
          </cell>
          <cell r="J1431" t="str">
            <v>Department - VT2</v>
          </cell>
          <cell r="K1431">
            <v>0</v>
          </cell>
        </row>
        <row r="1432">
          <cell r="C1432">
            <v>5901</v>
          </cell>
          <cell r="D1432" t="str">
            <v>Macy</v>
          </cell>
          <cell r="E1432" t="str">
            <v>Full Staff</v>
          </cell>
          <cell r="F1432" t="str">
            <v>Macys - VT3</v>
          </cell>
          <cell r="G1432" t="str">
            <v>Macy</v>
          </cell>
          <cell r="H1432" t="str">
            <v>SG_05_01 Sun Glass Hut_Macys FS_OWNED</v>
          </cell>
          <cell r="I1432" t="str">
            <v>0000005901 Solano Mall - Macy's</v>
          </cell>
          <cell r="J1432" t="str">
            <v>Department - VT3</v>
          </cell>
          <cell r="K1432">
            <v>0</v>
          </cell>
        </row>
        <row r="1433">
          <cell r="C1433">
            <v>5902</v>
          </cell>
          <cell r="D1433" t="str">
            <v>Macy</v>
          </cell>
          <cell r="E1433" t="str">
            <v>Full Staff</v>
          </cell>
          <cell r="F1433" t="str">
            <v>Macys - VT2</v>
          </cell>
          <cell r="G1433" t="str">
            <v>Macy</v>
          </cell>
          <cell r="H1433" t="str">
            <v>SG_05_01 Sun Glass Hut_Macys FS_OWNED</v>
          </cell>
          <cell r="I1433" t="str">
            <v>0000005902 Montclair Plaza - Macy's</v>
          </cell>
          <cell r="J1433" t="str">
            <v>Department - VT2</v>
          </cell>
          <cell r="K1433">
            <v>0</v>
          </cell>
        </row>
        <row r="1434">
          <cell r="C1434">
            <v>5903</v>
          </cell>
          <cell r="D1434" t="str">
            <v>Macy</v>
          </cell>
          <cell r="E1434" t="str">
            <v>Full Staff</v>
          </cell>
          <cell r="F1434" t="str">
            <v>Macys - VT3</v>
          </cell>
          <cell r="G1434" t="str">
            <v>Macy</v>
          </cell>
          <cell r="H1434" t="str">
            <v>SG_05_01 Sun Glass Hut_Macys FS_OWNED</v>
          </cell>
          <cell r="I1434" t="str">
            <v>0000005903 Arrowhead Towne Center - Macy'</v>
          </cell>
          <cell r="J1434" t="str">
            <v>Department - VT3</v>
          </cell>
          <cell r="K1434">
            <v>0</v>
          </cell>
        </row>
        <row r="1435">
          <cell r="C1435">
            <v>5904</v>
          </cell>
          <cell r="D1435" t="str">
            <v>Macy</v>
          </cell>
          <cell r="E1435" t="str">
            <v>Full Staff</v>
          </cell>
          <cell r="F1435" t="str">
            <v>Macys - VT2</v>
          </cell>
          <cell r="G1435" t="str">
            <v>Macy</v>
          </cell>
          <cell r="H1435" t="str">
            <v>SG_05_01 Sun Glass Hut_Macys FS_OWNED</v>
          </cell>
          <cell r="I1435" t="str">
            <v>0000005904 Serramonte Center - Macy's</v>
          </cell>
          <cell r="J1435" t="str">
            <v>Department - VT2</v>
          </cell>
          <cell r="K1435">
            <v>0</v>
          </cell>
        </row>
        <row r="1436">
          <cell r="C1436">
            <v>5905</v>
          </cell>
          <cell r="D1436" t="str">
            <v>Macy</v>
          </cell>
          <cell r="E1436" t="str">
            <v>Full Staff</v>
          </cell>
          <cell r="F1436" t="str">
            <v>Macys - VT2</v>
          </cell>
          <cell r="G1436" t="str">
            <v>Macy</v>
          </cell>
          <cell r="H1436" t="str">
            <v>SG_05_01 Sun Glass Hut_Macys FS_OWNED</v>
          </cell>
          <cell r="I1436" t="str">
            <v>0000005905 University Town Center - Macy'</v>
          </cell>
          <cell r="J1436" t="str">
            <v>Department - VT2</v>
          </cell>
          <cell r="K1436">
            <v>0</v>
          </cell>
        </row>
        <row r="1437">
          <cell r="C1437">
            <v>5906</v>
          </cell>
          <cell r="D1437" t="str">
            <v>Macy</v>
          </cell>
          <cell r="E1437" t="str">
            <v>Full Staff</v>
          </cell>
          <cell r="F1437" t="str">
            <v>Macys - VT3</v>
          </cell>
          <cell r="G1437" t="str">
            <v>Macy</v>
          </cell>
          <cell r="H1437" t="str">
            <v>SG_05_01 Sun Glass Hut_Macys FS_OWNED</v>
          </cell>
          <cell r="I1437" t="str">
            <v>0000005906 Lloyd Center - Macy's</v>
          </cell>
          <cell r="J1437" t="str">
            <v>Department - VT3</v>
          </cell>
          <cell r="K1437">
            <v>0</v>
          </cell>
        </row>
        <row r="1438">
          <cell r="C1438">
            <v>5907</v>
          </cell>
          <cell r="D1438" t="str">
            <v>Macy</v>
          </cell>
          <cell r="E1438" t="str">
            <v>Full Staff</v>
          </cell>
          <cell r="F1438" t="str">
            <v>Macys - VT1</v>
          </cell>
          <cell r="G1438" t="str">
            <v>Macy</v>
          </cell>
          <cell r="H1438" t="str">
            <v>SG_05_01 Sun Glass Hut_Macys FS_OWNED</v>
          </cell>
          <cell r="I1438" t="str">
            <v>0000005907 Culver City - Macy's</v>
          </cell>
          <cell r="J1438" t="str">
            <v>Department - VT1</v>
          </cell>
          <cell r="K1438">
            <v>0</v>
          </cell>
        </row>
        <row r="1439">
          <cell r="C1439">
            <v>5908</v>
          </cell>
          <cell r="D1439" t="str">
            <v>Macy</v>
          </cell>
          <cell r="E1439" t="str">
            <v>Full Staff</v>
          </cell>
          <cell r="F1439" t="str">
            <v>Macys - VT3</v>
          </cell>
          <cell r="G1439" t="str">
            <v>Macy</v>
          </cell>
          <cell r="H1439" t="str">
            <v>SG_05_01 Sun Glass Hut_Macys FS_OWNED</v>
          </cell>
          <cell r="I1439" t="str">
            <v>0000005908 Queen Ka'ahumanu Center - Macy</v>
          </cell>
          <cell r="J1439" t="str">
            <v>Department - VT3</v>
          </cell>
          <cell r="K1439">
            <v>0</v>
          </cell>
        </row>
        <row r="1440">
          <cell r="C1440">
            <v>5909</v>
          </cell>
          <cell r="D1440" t="str">
            <v>Macy</v>
          </cell>
          <cell r="E1440" t="str">
            <v>Full Staff</v>
          </cell>
          <cell r="F1440" t="str">
            <v>Macys - VT1</v>
          </cell>
          <cell r="G1440" t="str">
            <v>Macy</v>
          </cell>
          <cell r="H1440" t="str">
            <v>SG_05_01 Sun Glass Hut_Macys FS_OWNED</v>
          </cell>
          <cell r="I1440" t="str">
            <v>0000005909 Valley Plaza Mall - Macy's</v>
          </cell>
          <cell r="J1440" t="str">
            <v>Department - VT1</v>
          </cell>
          <cell r="K1440">
            <v>0</v>
          </cell>
        </row>
        <row r="1441">
          <cell r="C1441">
            <v>5910</v>
          </cell>
          <cell r="D1441" t="str">
            <v>Macy</v>
          </cell>
          <cell r="E1441" t="str">
            <v>Full Staff</v>
          </cell>
          <cell r="F1441" t="str">
            <v>Macys - VT1</v>
          </cell>
          <cell r="G1441" t="str">
            <v>Macy</v>
          </cell>
          <cell r="H1441" t="str">
            <v>SG_05_01 Sun Glass Hut_Macys FS_OWNED</v>
          </cell>
          <cell r="I1441" t="str">
            <v>0000005910 Micronesia Mall - Macy's</v>
          </cell>
          <cell r="J1441" t="str">
            <v>Department - VT1</v>
          </cell>
          <cell r="K1441">
            <v>0</v>
          </cell>
        </row>
        <row r="1442">
          <cell r="C1442">
            <v>5911</v>
          </cell>
          <cell r="D1442" t="str">
            <v>Macy</v>
          </cell>
          <cell r="E1442" t="str">
            <v>Full Staff</v>
          </cell>
          <cell r="F1442" t="str">
            <v>Macys - VT3</v>
          </cell>
          <cell r="G1442" t="str">
            <v>Macy</v>
          </cell>
          <cell r="H1442" t="str">
            <v>SG_05_01 Sun Glass Hut_Macys FS_OWNED</v>
          </cell>
          <cell r="I1442" t="str">
            <v>0000005911 South Bay Galleria - Macy's</v>
          </cell>
          <cell r="J1442" t="str">
            <v>Department - VT3</v>
          </cell>
          <cell r="K1442">
            <v>0</v>
          </cell>
        </row>
        <row r="1443">
          <cell r="C1443">
            <v>5912</v>
          </cell>
          <cell r="D1443" t="str">
            <v>Macy</v>
          </cell>
          <cell r="E1443" t="str">
            <v>Full Staff</v>
          </cell>
          <cell r="F1443" t="str">
            <v>Macys - VT2</v>
          </cell>
          <cell r="G1443" t="str">
            <v>Macy</v>
          </cell>
          <cell r="H1443" t="str">
            <v>SG_05_01 Sun Glass Hut_Macys FS_OWNED</v>
          </cell>
          <cell r="I1443" t="str">
            <v>0000005912 Chandler Fashion Center - Macy</v>
          </cell>
          <cell r="J1443" t="str">
            <v>Department - VT2</v>
          </cell>
          <cell r="K1443">
            <v>0</v>
          </cell>
        </row>
        <row r="1444">
          <cell r="C1444">
            <v>5913</v>
          </cell>
          <cell r="D1444" t="str">
            <v>Macy</v>
          </cell>
          <cell r="E1444" t="str">
            <v>Full Staff</v>
          </cell>
          <cell r="F1444" t="str">
            <v>Macys - VT2</v>
          </cell>
          <cell r="G1444" t="str">
            <v>Macy</v>
          </cell>
          <cell r="H1444" t="str">
            <v>SG_05_01 Sun Glass Hut_Macys FS_OWNED</v>
          </cell>
          <cell r="I1444" t="str">
            <v>0000005913 Chula Vista Center - Macy's</v>
          </cell>
          <cell r="J1444" t="str">
            <v>Department - VT2</v>
          </cell>
          <cell r="K1444">
            <v>0</v>
          </cell>
        </row>
        <row r="1445">
          <cell r="C1445">
            <v>5914</v>
          </cell>
          <cell r="D1445" t="str">
            <v>Macy</v>
          </cell>
          <cell r="E1445" t="str">
            <v>Full Staff</v>
          </cell>
          <cell r="F1445" t="str">
            <v>Macys - VT3</v>
          </cell>
          <cell r="G1445" t="str">
            <v>Macy</v>
          </cell>
          <cell r="H1445" t="str">
            <v>SG_05_01 Sun Glass Hut_Macys FS_OWNED</v>
          </cell>
          <cell r="I1445" t="str">
            <v>0000005914 Columbia Center - Macy's</v>
          </cell>
          <cell r="J1445" t="str">
            <v>Department - VT3</v>
          </cell>
          <cell r="K1445">
            <v>0</v>
          </cell>
        </row>
        <row r="1446">
          <cell r="C1446">
            <v>5915</v>
          </cell>
          <cell r="D1446" t="str">
            <v>Macy</v>
          </cell>
          <cell r="E1446" t="str">
            <v>Full Staff</v>
          </cell>
          <cell r="F1446" t="str">
            <v>Macys - VT3</v>
          </cell>
          <cell r="G1446" t="str">
            <v>Macy</v>
          </cell>
          <cell r="H1446" t="str">
            <v>SG_05_01 Sun Glass Hut_Macys FS_OWNED</v>
          </cell>
          <cell r="I1446" t="str">
            <v>0000005915 Capital Mall - Macy's</v>
          </cell>
          <cell r="J1446" t="str">
            <v>Department - VT3</v>
          </cell>
          <cell r="K1446">
            <v>0</v>
          </cell>
        </row>
        <row r="1447">
          <cell r="C1447">
            <v>5916</v>
          </cell>
          <cell r="D1447" t="str">
            <v>Macy</v>
          </cell>
          <cell r="E1447" t="str">
            <v>Full Staff</v>
          </cell>
          <cell r="F1447" t="str">
            <v>Macys - VT2</v>
          </cell>
          <cell r="G1447" t="str">
            <v>Macy</v>
          </cell>
          <cell r="H1447" t="str">
            <v>SG_05_01 Sun Glass Hut_Macys FS_OWNED</v>
          </cell>
          <cell r="I1447" t="str">
            <v>0000005916 Downtown Plaza - Macy's</v>
          </cell>
          <cell r="J1447" t="str">
            <v>Department - VT2</v>
          </cell>
          <cell r="K1447">
            <v>0</v>
          </cell>
        </row>
        <row r="1448">
          <cell r="C1448">
            <v>5917</v>
          </cell>
          <cell r="D1448" t="str">
            <v>Macy</v>
          </cell>
          <cell r="E1448" t="str">
            <v>Full Staff</v>
          </cell>
          <cell r="F1448" t="str">
            <v>Macys - VT3</v>
          </cell>
          <cell r="G1448" t="str">
            <v>Macy</v>
          </cell>
          <cell r="H1448" t="str">
            <v>SG_05_01 Sun Glass Hut_Macys FS_OWNED</v>
          </cell>
          <cell r="I1448" t="str">
            <v>0000005917 Hilltop Mall - Macy's</v>
          </cell>
          <cell r="J1448" t="str">
            <v>Department - VT3</v>
          </cell>
          <cell r="K1448">
            <v>0</v>
          </cell>
        </row>
        <row r="1449">
          <cell r="C1449">
            <v>5918</v>
          </cell>
          <cell r="D1449" t="str">
            <v>Macy</v>
          </cell>
          <cell r="E1449" t="str">
            <v>Full Staff</v>
          </cell>
          <cell r="F1449" t="str">
            <v>Macys - VT2</v>
          </cell>
          <cell r="G1449" t="str">
            <v>Macy</v>
          </cell>
          <cell r="H1449" t="str">
            <v>SG_05_01 Sun Glass Hut_Macys FS_OWNED</v>
          </cell>
          <cell r="I1449" t="str">
            <v>0000005918 Galleria At Tyler - Macy's</v>
          </cell>
          <cell r="J1449" t="str">
            <v>Department - VT2</v>
          </cell>
          <cell r="K1449">
            <v>0</v>
          </cell>
        </row>
        <row r="1450">
          <cell r="C1450">
            <v>5920</v>
          </cell>
          <cell r="D1450" t="str">
            <v>Macy</v>
          </cell>
          <cell r="E1450" t="str">
            <v>Full Staff</v>
          </cell>
          <cell r="F1450" t="str">
            <v>Macys - VT3</v>
          </cell>
          <cell r="G1450" t="str">
            <v>Macy</v>
          </cell>
          <cell r="H1450" t="str">
            <v>SG_05_01 Sun Glass Hut_Macys FS_OWNED</v>
          </cell>
          <cell r="I1450" t="str">
            <v>0000005920 Laguna Hills Mall - Macy's</v>
          </cell>
          <cell r="J1450" t="str">
            <v>Department - VT3</v>
          </cell>
          <cell r="K1450">
            <v>0</v>
          </cell>
        </row>
        <row r="1451">
          <cell r="C1451">
            <v>5921</v>
          </cell>
          <cell r="D1451" t="str">
            <v>Macy</v>
          </cell>
          <cell r="E1451" t="str">
            <v>Full Staff</v>
          </cell>
          <cell r="F1451" t="str">
            <v>Macys - VT3</v>
          </cell>
          <cell r="G1451" t="str">
            <v>Macy</v>
          </cell>
          <cell r="H1451" t="str">
            <v>SG_05_01 Sun Glass Hut_Macys FS_OWNED</v>
          </cell>
          <cell r="I1451" t="str">
            <v>0000005921 Southland Mall - Macy's</v>
          </cell>
          <cell r="J1451" t="str">
            <v>Department - VT3</v>
          </cell>
          <cell r="K1451">
            <v>0</v>
          </cell>
        </row>
        <row r="1452">
          <cell r="C1452">
            <v>5922</v>
          </cell>
          <cell r="D1452" t="str">
            <v>Macy</v>
          </cell>
          <cell r="E1452" t="str">
            <v>Full Staff</v>
          </cell>
          <cell r="F1452" t="str">
            <v>Macys - VT2</v>
          </cell>
          <cell r="G1452" t="str">
            <v>Macy</v>
          </cell>
          <cell r="H1452" t="str">
            <v>SG_05_01 Sun Glass Hut_Macys FS_OWNED</v>
          </cell>
          <cell r="I1452" t="str">
            <v>0000005922 Village at Corte Madera - Macy</v>
          </cell>
          <cell r="J1452" t="str">
            <v>Department - VT2</v>
          </cell>
          <cell r="K1452">
            <v>0</v>
          </cell>
        </row>
        <row r="1453">
          <cell r="C1453">
            <v>5923</v>
          </cell>
          <cell r="D1453" t="str">
            <v>Macy</v>
          </cell>
          <cell r="E1453" t="str">
            <v>Full Staff</v>
          </cell>
          <cell r="F1453" t="str">
            <v>Macys - VT3</v>
          </cell>
          <cell r="G1453" t="str">
            <v>Macy</v>
          </cell>
          <cell r="H1453" t="str">
            <v>SG_05_01 Sun Glass Hut_Macys FS_OWNED</v>
          </cell>
          <cell r="I1453" t="str">
            <v>0000005923 Bellis Fair Mall - Macy's</v>
          </cell>
          <cell r="J1453" t="str">
            <v>Department - VT3</v>
          </cell>
          <cell r="K1453">
            <v>0</v>
          </cell>
        </row>
        <row r="1454">
          <cell r="C1454">
            <v>5924</v>
          </cell>
          <cell r="D1454" t="str">
            <v>Macy</v>
          </cell>
          <cell r="E1454" t="str">
            <v>Full Staff</v>
          </cell>
          <cell r="F1454" t="str">
            <v>Macys - VT2</v>
          </cell>
          <cell r="G1454" t="str">
            <v>Macy</v>
          </cell>
          <cell r="H1454" t="str">
            <v>SG_05_01 Sun Glass Hut_Macys FS_OWNED</v>
          </cell>
          <cell r="I1454" t="str">
            <v>0000005924 Plaza Bonita - Macy's</v>
          </cell>
          <cell r="J1454" t="str">
            <v>Department - VT2</v>
          </cell>
          <cell r="K1454">
            <v>0</v>
          </cell>
        </row>
        <row r="1455">
          <cell r="C1455">
            <v>5925</v>
          </cell>
          <cell r="D1455" t="str">
            <v>Macy</v>
          </cell>
          <cell r="E1455" t="str">
            <v>Full Staff</v>
          </cell>
          <cell r="F1455" t="str">
            <v>Macys - VT3</v>
          </cell>
          <cell r="G1455" t="str">
            <v>Macy</v>
          </cell>
          <cell r="H1455" t="str">
            <v>SG_05_01 Sun Glass Hut_Macys FS_OWNED</v>
          </cell>
          <cell r="I1455" t="str">
            <v>0000005925 North County - Macy's</v>
          </cell>
          <cell r="J1455" t="str">
            <v>Department - VT3</v>
          </cell>
          <cell r="K1455">
            <v>0</v>
          </cell>
        </row>
        <row r="1456">
          <cell r="C1456">
            <v>5926</v>
          </cell>
          <cell r="D1456" t="str">
            <v>Macy</v>
          </cell>
          <cell r="E1456" t="str">
            <v>Full Staff</v>
          </cell>
          <cell r="F1456" t="str">
            <v>Macys - VT3</v>
          </cell>
          <cell r="G1456" t="str">
            <v>Macy</v>
          </cell>
          <cell r="H1456" t="str">
            <v>SG_05_01 Sun Glass Hut_Macys FS_OWNED</v>
          </cell>
          <cell r="I1456" t="str">
            <v>0000005926 Valley River Center - Macy's</v>
          </cell>
          <cell r="J1456" t="str">
            <v>Department - VT3</v>
          </cell>
          <cell r="K1456">
            <v>0</v>
          </cell>
        </row>
        <row r="1457">
          <cell r="C1457">
            <v>5927</v>
          </cell>
          <cell r="D1457" t="str">
            <v>Macy</v>
          </cell>
          <cell r="E1457" t="str">
            <v>Full Staff</v>
          </cell>
          <cell r="F1457" t="str">
            <v>Macys - VT3</v>
          </cell>
          <cell r="G1457" t="str">
            <v>Macy</v>
          </cell>
          <cell r="H1457" t="str">
            <v>SG_05_01 Sun Glass Hut_Macys FS_OWNED</v>
          </cell>
          <cell r="I1457" t="str">
            <v>0000005927 Kitsap Mall - Macy's</v>
          </cell>
          <cell r="J1457" t="str">
            <v>Department - VT3</v>
          </cell>
          <cell r="K1457">
            <v>0</v>
          </cell>
        </row>
        <row r="1458">
          <cell r="C1458">
            <v>5928</v>
          </cell>
          <cell r="D1458" t="str">
            <v>Macy</v>
          </cell>
          <cell r="E1458" t="str">
            <v>Full Staff</v>
          </cell>
          <cell r="F1458" t="str">
            <v>Macys - VT3</v>
          </cell>
          <cell r="G1458" t="str">
            <v>Macy</v>
          </cell>
          <cell r="H1458" t="str">
            <v>SG_05_01 Sun Glass Hut_Macys FS_OWNED</v>
          </cell>
          <cell r="I1458" t="str">
            <v>0000005928 Promenade Shopping Mall - Macy</v>
          </cell>
          <cell r="J1458" t="str">
            <v>Department - VT3</v>
          </cell>
          <cell r="K1458">
            <v>0</v>
          </cell>
        </row>
        <row r="1459">
          <cell r="C1459">
            <v>5929</v>
          </cell>
          <cell r="D1459" t="str">
            <v>Macy</v>
          </cell>
          <cell r="E1459" t="str">
            <v>Full Staff</v>
          </cell>
          <cell r="F1459" t="str">
            <v>Macys - VT2</v>
          </cell>
          <cell r="G1459" t="str">
            <v>Macy</v>
          </cell>
          <cell r="H1459" t="str">
            <v>SG_05_01 Sun Glass Hut_Macys FS_OWNED</v>
          </cell>
          <cell r="I1459" t="str">
            <v>0000005929 Grossmont Center - Macy's</v>
          </cell>
          <cell r="J1459" t="str">
            <v>Department - VT2</v>
          </cell>
          <cell r="K1459">
            <v>0</v>
          </cell>
        </row>
        <row r="1460">
          <cell r="C1460">
            <v>5930</v>
          </cell>
          <cell r="D1460" t="str">
            <v>Macy</v>
          </cell>
          <cell r="E1460" t="str">
            <v>Full Staff</v>
          </cell>
          <cell r="F1460" t="str">
            <v>Macys - VT3</v>
          </cell>
          <cell r="G1460" t="str">
            <v>Macy</v>
          </cell>
          <cell r="H1460" t="str">
            <v>SG_05_01 Sun Glass Hut_Macys FS_OWNED</v>
          </cell>
          <cell r="I1460" t="str">
            <v>0000005930 Valley Mall - Macy's</v>
          </cell>
          <cell r="J1460" t="str">
            <v>Department - VT3</v>
          </cell>
          <cell r="K1460">
            <v>0</v>
          </cell>
        </row>
        <row r="1461">
          <cell r="C1461">
            <v>5943</v>
          </cell>
          <cell r="D1461" t="str">
            <v>Macy</v>
          </cell>
          <cell r="E1461" t="str">
            <v>Full Staff</v>
          </cell>
          <cell r="F1461" t="str">
            <v>Macys - VT1</v>
          </cell>
          <cell r="G1461" t="str">
            <v>Macy</v>
          </cell>
          <cell r="H1461" t="str">
            <v>SG_05_01 Sun Glass Hut_Macys FS_OWNED</v>
          </cell>
          <cell r="I1461" t="str">
            <v>0000005943 Cielo Vista Mall - Macy's</v>
          </cell>
          <cell r="J1461" t="str">
            <v>Department - VT1</v>
          </cell>
          <cell r="K1461">
            <v>0</v>
          </cell>
        </row>
        <row r="1462">
          <cell r="C1462">
            <v>5944</v>
          </cell>
          <cell r="D1462" t="str">
            <v>Macy</v>
          </cell>
          <cell r="E1462" t="str">
            <v>Full Staff</v>
          </cell>
          <cell r="F1462" t="str">
            <v>Macys - VT1</v>
          </cell>
          <cell r="G1462" t="str">
            <v>Macy</v>
          </cell>
          <cell r="H1462" t="str">
            <v>SG_05_01 Sun Glass Hut_Macys FS_OWNED</v>
          </cell>
          <cell r="I1462" t="str">
            <v>0000005944 Horton Plaza - Macy's</v>
          </cell>
          <cell r="J1462" t="str">
            <v>Department - VT1</v>
          </cell>
          <cell r="K1462">
            <v>0</v>
          </cell>
        </row>
        <row r="1463">
          <cell r="C1463">
            <v>5945</v>
          </cell>
          <cell r="D1463" t="str">
            <v>Macy</v>
          </cell>
          <cell r="E1463" t="str">
            <v>Full Staff</v>
          </cell>
          <cell r="F1463" t="str">
            <v>Macys - VT3</v>
          </cell>
          <cell r="G1463" t="str">
            <v>Macy</v>
          </cell>
          <cell r="H1463" t="str">
            <v>SG_05_01 Sun Glass Hut_Macys FS_OWNED</v>
          </cell>
          <cell r="I1463" t="str">
            <v>0000005945 Puente Hills Mall - Macy's</v>
          </cell>
          <cell r="J1463" t="str">
            <v>Department - VT3</v>
          </cell>
          <cell r="K1463">
            <v>0</v>
          </cell>
        </row>
        <row r="1464">
          <cell r="C1464">
            <v>5948</v>
          </cell>
          <cell r="D1464" t="str">
            <v>Macy</v>
          </cell>
          <cell r="E1464" t="str">
            <v>Full Staff</v>
          </cell>
          <cell r="F1464" t="str">
            <v>Macys - VT2</v>
          </cell>
          <cell r="G1464" t="str">
            <v>Macy</v>
          </cell>
          <cell r="H1464" t="str">
            <v>SG_05_01 Sun Glass Hut_Macys FS_OWNED</v>
          </cell>
          <cell r="I1464" t="str">
            <v>0000005948 Century City - Macy's</v>
          </cell>
          <cell r="J1464" t="str">
            <v>Department - VT2</v>
          </cell>
          <cell r="K1464">
            <v>0</v>
          </cell>
        </row>
        <row r="1465">
          <cell r="C1465">
            <v>5952</v>
          </cell>
          <cell r="D1465" t="str">
            <v>Macy</v>
          </cell>
          <cell r="E1465" t="str">
            <v>Full Staff</v>
          </cell>
          <cell r="F1465" t="str">
            <v>Macys - VT3</v>
          </cell>
          <cell r="G1465" t="str">
            <v>Macy</v>
          </cell>
          <cell r="H1465" t="str">
            <v>SG_05_01 Sun Glass Hut_Macys FS_OWNED</v>
          </cell>
          <cell r="I1465" t="str">
            <v>0000005952 Everett Mall - Macy's</v>
          </cell>
          <cell r="J1465" t="str">
            <v>Department - VT3</v>
          </cell>
          <cell r="K1465">
            <v>0</v>
          </cell>
        </row>
        <row r="1466">
          <cell r="C1466">
            <v>5953</v>
          </cell>
          <cell r="D1466" t="str">
            <v>Macy</v>
          </cell>
          <cell r="E1466" t="str">
            <v>Full Staff</v>
          </cell>
          <cell r="F1466" t="str">
            <v>Macys - VT3</v>
          </cell>
          <cell r="G1466" t="str">
            <v>Macy</v>
          </cell>
          <cell r="H1466" t="str">
            <v>SG_05_01 Sun Glass Hut_Macys FS_OWNED</v>
          </cell>
          <cell r="I1466" t="str">
            <v>0000005953 Pasadena Plaza on Lake Ave - M</v>
          </cell>
          <cell r="J1466" t="str">
            <v>Department - VT3</v>
          </cell>
          <cell r="K1466">
            <v>0</v>
          </cell>
        </row>
        <row r="1467">
          <cell r="C1467">
            <v>5954</v>
          </cell>
          <cell r="D1467" t="str">
            <v>Macy</v>
          </cell>
          <cell r="E1467" t="str">
            <v>Full Staff</v>
          </cell>
          <cell r="F1467" t="str">
            <v>Macys - VT3</v>
          </cell>
          <cell r="G1467" t="str">
            <v>Macy</v>
          </cell>
          <cell r="H1467" t="str">
            <v>SG_05_01 Sun Glass Hut_Macys FS_OWNED</v>
          </cell>
          <cell r="I1467" t="str">
            <v>0000005954 Capitola Mall - Macy's</v>
          </cell>
          <cell r="J1467" t="str">
            <v>Department - VT3</v>
          </cell>
          <cell r="K1467">
            <v>0</v>
          </cell>
        </row>
        <row r="1468">
          <cell r="C1468">
            <v>5966</v>
          </cell>
          <cell r="D1468" t="str">
            <v>Macy</v>
          </cell>
          <cell r="E1468" t="str">
            <v>Full Staff</v>
          </cell>
          <cell r="F1468" t="str">
            <v>Macys - VT3</v>
          </cell>
          <cell r="G1468" t="str">
            <v>Macy</v>
          </cell>
          <cell r="H1468" t="str">
            <v>SG_05_01 Sun Glass Hut_Macys FS_OWNED</v>
          </cell>
          <cell r="I1468" t="str">
            <v>0000005966 Paseo Nuevo Mall - Macy's</v>
          </cell>
          <cell r="J1468" t="str">
            <v>Department - VT3</v>
          </cell>
          <cell r="K1468">
            <v>0</v>
          </cell>
        </row>
        <row r="1469">
          <cell r="C1469">
            <v>5969</v>
          </cell>
          <cell r="D1469" t="str">
            <v>Macy</v>
          </cell>
          <cell r="E1469" t="str">
            <v>Full Staff</v>
          </cell>
          <cell r="F1469" t="str">
            <v>Macys - VT3</v>
          </cell>
          <cell r="G1469" t="str">
            <v>Macy</v>
          </cell>
          <cell r="H1469" t="str">
            <v>SG_05_01 Sun Glass Hut_Macys FS_OWNED</v>
          </cell>
          <cell r="I1469" t="str">
            <v>0000005969 The Commons at Federal Way - M</v>
          </cell>
          <cell r="J1469" t="str">
            <v>Department - VT3</v>
          </cell>
          <cell r="K1469">
            <v>0</v>
          </cell>
        </row>
        <row r="1470">
          <cell r="C1470">
            <v>5976</v>
          </cell>
          <cell r="D1470" t="str">
            <v>Macy</v>
          </cell>
          <cell r="E1470" t="str">
            <v>Full Staff</v>
          </cell>
          <cell r="F1470" t="str">
            <v>Macys - VT3</v>
          </cell>
          <cell r="G1470" t="str">
            <v>Macy</v>
          </cell>
          <cell r="H1470" t="str">
            <v>SG_05_01 Sun Glass Hut_Macys FS_OWNED</v>
          </cell>
          <cell r="I1470" t="str">
            <v>0000005976 Imperial Valley Mall - Macy's</v>
          </cell>
          <cell r="J1470" t="str">
            <v>Department - VT3</v>
          </cell>
          <cell r="K1470">
            <v>0</v>
          </cell>
        </row>
        <row r="1471">
          <cell r="C1471">
            <v>5996</v>
          </cell>
          <cell r="D1471" t="str">
            <v>Macy</v>
          </cell>
          <cell r="E1471" t="str">
            <v>Full Staff</v>
          </cell>
          <cell r="F1471" t="str">
            <v>Macys - VT1</v>
          </cell>
          <cell r="G1471" t="str">
            <v>Macy</v>
          </cell>
          <cell r="H1471" t="str">
            <v>SG_05_01 Sun Glass Hut_Macys FS_OWNED</v>
          </cell>
          <cell r="I1471" t="str">
            <v>0000005996 Waikiki - Macy's</v>
          </cell>
          <cell r="J1471" t="str">
            <v>Department - VT1</v>
          </cell>
          <cell r="K1471">
            <v>0</v>
          </cell>
        </row>
        <row r="1472">
          <cell r="C1472">
            <v>6053</v>
          </cell>
          <cell r="D1472" t="str">
            <v>Macy</v>
          </cell>
          <cell r="E1472" t="str">
            <v>Full Staff</v>
          </cell>
          <cell r="F1472" t="str">
            <v>Macys - VT3</v>
          </cell>
          <cell r="G1472" t="str">
            <v>Macy</v>
          </cell>
          <cell r="H1472" t="str">
            <v>SG_05_01 Sun Glass Hut_Macys FS_OWNED</v>
          </cell>
          <cell r="I1472" t="str">
            <v>0000006053 Alderwood Mall - Macy's</v>
          </cell>
          <cell r="J1472" t="str">
            <v>Department - VT3</v>
          </cell>
          <cell r="K1472">
            <v>0</v>
          </cell>
        </row>
        <row r="1473">
          <cell r="C1473">
            <v>6054</v>
          </cell>
          <cell r="D1473" t="str">
            <v>Macy</v>
          </cell>
          <cell r="E1473" t="str">
            <v>Full Staff</v>
          </cell>
          <cell r="F1473" t="str">
            <v>Macys - VT2</v>
          </cell>
          <cell r="G1473" t="str">
            <v>Macy</v>
          </cell>
          <cell r="H1473" t="str">
            <v>SG_05_01 Sun Glass Hut_Macys FS_OWNED</v>
          </cell>
          <cell r="I1473" t="str">
            <v>0000006054 Arden Fair - Macy's</v>
          </cell>
          <cell r="J1473" t="str">
            <v>Department - VT2</v>
          </cell>
          <cell r="K1473">
            <v>0</v>
          </cell>
        </row>
        <row r="1474">
          <cell r="C1474">
            <v>6057</v>
          </cell>
          <cell r="D1474" t="str">
            <v>Macy</v>
          </cell>
          <cell r="E1474" t="str">
            <v>Full Staff</v>
          </cell>
          <cell r="F1474" t="str">
            <v>Macys - VT3</v>
          </cell>
          <cell r="G1474" t="str">
            <v>Macy</v>
          </cell>
          <cell r="H1474" t="str">
            <v>SG_05_01 Sun Glass Hut_Macys FS_OWNED</v>
          </cell>
          <cell r="I1474" t="str">
            <v>0000006057 River Park - Macy's</v>
          </cell>
          <cell r="J1474" t="str">
            <v>Department - VT3</v>
          </cell>
          <cell r="K1474">
            <v>0</v>
          </cell>
        </row>
        <row r="1475">
          <cell r="C1475">
            <v>6059</v>
          </cell>
          <cell r="D1475" t="str">
            <v>Macy</v>
          </cell>
          <cell r="E1475" t="str">
            <v>Full Staff</v>
          </cell>
          <cell r="F1475" t="str">
            <v>Macys - Men</v>
          </cell>
          <cell r="G1475" t="str">
            <v>Macy</v>
          </cell>
          <cell r="H1475" t="str">
            <v>SG_05_01 Sun Glass Hut_Macys FS_OWNED</v>
          </cell>
          <cell r="I1475" t="str">
            <v>0000006059 Union Square - Macy's Mens</v>
          </cell>
          <cell r="J1475" t="str">
            <v>Department - Mens</v>
          </cell>
          <cell r="K1475">
            <v>0</v>
          </cell>
        </row>
        <row r="1476">
          <cell r="C1476">
            <v>6132</v>
          </cell>
          <cell r="D1476" t="str">
            <v>Macy</v>
          </cell>
          <cell r="E1476" t="str">
            <v>Full Staff</v>
          </cell>
          <cell r="F1476" t="str">
            <v>Macys - VT3</v>
          </cell>
          <cell r="G1476" t="str">
            <v>Macy</v>
          </cell>
          <cell r="H1476" t="str">
            <v>SG_05_01 Sun Glass Hut_Macys FS_OWNED</v>
          </cell>
          <cell r="I1476" t="str">
            <v>0000006132 Antelope Valley Mall - Macy's</v>
          </cell>
          <cell r="J1476" t="str">
            <v>Department - VT3</v>
          </cell>
          <cell r="K1476">
            <v>0</v>
          </cell>
        </row>
        <row r="1477">
          <cell r="C1477">
            <v>6140</v>
          </cell>
          <cell r="D1477" t="str">
            <v>Macy</v>
          </cell>
          <cell r="E1477" t="str">
            <v>Full Staff</v>
          </cell>
          <cell r="F1477" t="str">
            <v>Macys - Men</v>
          </cell>
          <cell r="G1477" t="str">
            <v>Macy</v>
          </cell>
          <cell r="H1477" t="str">
            <v>SG_05_01 Sun Glass Hut_Macys FS_OWNED</v>
          </cell>
          <cell r="I1477" t="str">
            <v>0000006140 Valley Fair Mall - Macy's Mens</v>
          </cell>
          <cell r="J1477" t="str">
            <v>Department - Mens</v>
          </cell>
          <cell r="K1477">
            <v>0</v>
          </cell>
        </row>
        <row r="1478">
          <cell r="C1478">
            <v>6141</v>
          </cell>
          <cell r="D1478" t="str">
            <v>Macy</v>
          </cell>
          <cell r="E1478" t="str">
            <v>Full Staff</v>
          </cell>
          <cell r="F1478" t="str">
            <v>Macys - Men</v>
          </cell>
          <cell r="G1478" t="str">
            <v>Macy</v>
          </cell>
          <cell r="H1478" t="str">
            <v>SG_05_01 Sun Glass Hut_Macys FS_OWNED</v>
          </cell>
          <cell r="I1478" t="str">
            <v>0000006141 South Coast Plaza - Macy's Men</v>
          </cell>
          <cell r="J1478" t="str">
            <v>Department - Mens</v>
          </cell>
          <cell r="K1478">
            <v>0</v>
          </cell>
        </row>
        <row r="1479">
          <cell r="C1479">
            <v>6142</v>
          </cell>
          <cell r="D1479" t="str">
            <v>Macy</v>
          </cell>
          <cell r="E1479" t="str">
            <v>Full Staff</v>
          </cell>
          <cell r="F1479" t="str">
            <v>Macys - Men</v>
          </cell>
          <cell r="G1479" t="str">
            <v>Macy</v>
          </cell>
          <cell r="H1479" t="str">
            <v>SG_05_01 Sun Glass Hut_Macys FS_OWNED</v>
          </cell>
          <cell r="I1479" t="str">
            <v>0000006142 Stoneridge Shopping - Macy's M</v>
          </cell>
          <cell r="J1479" t="str">
            <v>Department - Mens</v>
          </cell>
          <cell r="K1479">
            <v>0</v>
          </cell>
        </row>
        <row r="1480">
          <cell r="C1480">
            <v>6143</v>
          </cell>
          <cell r="D1480" t="str">
            <v>Macy</v>
          </cell>
          <cell r="E1480" t="str">
            <v>Full Staff</v>
          </cell>
          <cell r="F1480" t="str">
            <v>Macys - Men</v>
          </cell>
          <cell r="G1480" t="str">
            <v>Macy</v>
          </cell>
          <cell r="H1480" t="str">
            <v>SG_05_01 Sun Glass Hut_Macys FS_OWNED</v>
          </cell>
          <cell r="I1480" t="str">
            <v>0000006143 Beverly Center - Macy's Mens</v>
          </cell>
          <cell r="J1480" t="str">
            <v>Department - Mens</v>
          </cell>
          <cell r="K1480">
            <v>0</v>
          </cell>
        </row>
        <row r="1481">
          <cell r="C1481">
            <v>6144</v>
          </cell>
          <cell r="D1481" t="str">
            <v>Macy</v>
          </cell>
          <cell r="E1481" t="str">
            <v>Full Staff</v>
          </cell>
          <cell r="F1481" t="str">
            <v>Macys - Men</v>
          </cell>
          <cell r="G1481" t="str">
            <v>Macy</v>
          </cell>
          <cell r="H1481" t="str">
            <v>SG_05_01 Sun Glass Hut_Macys FS_OWNED</v>
          </cell>
          <cell r="I1481" t="str">
            <v>0000006144 Stanford Shopping Ctr - Macy's</v>
          </cell>
          <cell r="J1481" t="str">
            <v>Department - Mens</v>
          </cell>
          <cell r="K1481">
            <v>0</v>
          </cell>
        </row>
        <row r="1482">
          <cell r="C1482">
            <v>6145</v>
          </cell>
          <cell r="D1482" t="str">
            <v>Macy</v>
          </cell>
          <cell r="E1482" t="str">
            <v>Full Staff</v>
          </cell>
          <cell r="F1482" t="str">
            <v>Macys - Men</v>
          </cell>
          <cell r="G1482" t="str">
            <v>Macy</v>
          </cell>
          <cell r="H1482" t="str">
            <v>SG_05_01 Sun Glass Hut_Macys FS_OWNED</v>
          </cell>
          <cell r="I1482" t="str">
            <v>0000006145 Fashion Fair Mall - Macy's Men</v>
          </cell>
          <cell r="J1482" t="str">
            <v>Department - Mens</v>
          </cell>
          <cell r="K1482">
            <v>0</v>
          </cell>
        </row>
        <row r="1483">
          <cell r="C1483">
            <v>6148</v>
          </cell>
          <cell r="D1483" t="str">
            <v>Macy</v>
          </cell>
          <cell r="E1483" t="str">
            <v>Full Staff</v>
          </cell>
          <cell r="F1483" t="str">
            <v>Macys - Men</v>
          </cell>
          <cell r="G1483" t="str">
            <v>Macy</v>
          </cell>
          <cell r="H1483" t="str">
            <v>SG_05_01 Sun Glass Hut_Macys FS_OWNED</v>
          </cell>
          <cell r="I1483" t="str">
            <v>0000006148 Victoria Gardens - Macy's Mens</v>
          </cell>
          <cell r="J1483" t="str">
            <v>Department - Mens</v>
          </cell>
          <cell r="K1483">
            <v>0</v>
          </cell>
        </row>
        <row r="1484">
          <cell r="C1484">
            <v>6152</v>
          </cell>
          <cell r="D1484" t="str">
            <v>Macy</v>
          </cell>
          <cell r="E1484" t="str">
            <v>Full Staff</v>
          </cell>
          <cell r="F1484" t="str">
            <v>Macys - Men</v>
          </cell>
          <cell r="G1484" t="str">
            <v>Macy</v>
          </cell>
          <cell r="H1484" t="str">
            <v>SG_05_01 Sun Glass Hut_Macys FS_OWNED</v>
          </cell>
          <cell r="I1484" t="str">
            <v>0000006152 Northridge Fashion Ctr - Macy'</v>
          </cell>
          <cell r="J1484" t="str">
            <v>Department - Mens</v>
          </cell>
          <cell r="K1484">
            <v>0</v>
          </cell>
        </row>
        <row r="1485">
          <cell r="C1485">
            <v>6153</v>
          </cell>
          <cell r="D1485" t="str">
            <v>Macy</v>
          </cell>
          <cell r="E1485" t="str">
            <v>Full Staff</v>
          </cell>
          <cell r="F1485" t="str">
            <v>Macys - Men</v>
          </cell>
          <cell r="G1485" t="str">
            <v>Macy</v>
          </cell>
          <cell r="H1485" t="str">
            <v>SG_05_01 Sun Glass Hut_Macys FS_OWNED</v>
          </cell>
          <cell r="I1485" t="str">
            <v>0000006153 Brea Mens - Macy's</v>
          </cell>
          <cell r="J1485" t="str">
            <v>Department - Mens</v>
          </cell>
          <cell r="K1485">
            <v>0</v>
          </cell>
        </row>
        <row r="1486">
          <cell r="C1486">
            <v>6164</v>
          </cell>
          <cell r="D1486" t="str">
            <v>Macy</v>
          </cell>
          <cell r="E1486" t="str">
            <v>Full Staff</v>
          </cell>
          <cell r="F1486" t="str">
            <v>Macys - VT1</v>
          </cell>
          <cell r="G1486" t="str">
            <v>Macy</v>
          </cell>
          <cell r="H1486" t="str">
            <v>SG_05_01 Sun Glass Hut_Macys FS_OWNED</v>
          </cell>
          <cell r="I1486" t="str">
            <v>0000006164 Queens Center - Macy's</v>
          </cell>
          <cell r="J1486" t="str">
            <v>Department - VT1</v>
          </cell>
          <cell r="K1486">
            <v>0</v>
          </cell>
        </row>
        <row r="1487">
          <cell r="C1487">
            <v>6165</v>
          </cell>
          <cell r="D1487" t="str">
            <v>Macy</v>
          </cell>
          <cell r="E1487" t="str">
            <v>Full Staff</v>
          </cell>
          <cell r="F1487" t="str">
            <v>Macys - VT1</v>
          </cell>
          <cell r="G1487" t="str">
            <v>Macy</v>
          </cell>
          <cell r="H1487" t="str">
            <v>SG_05_01 Sun Glass Hut_Macys FS_OWNED</v>
          </cell>
          <cell r="I1487" t="str">
            <v>0000006165 Downtown Brooklyn - Macy's</v>
          </cell>
          <cell r="J1487" t="str">
            <v>Department - VT1</v>
          </cell>
          <cell r="K1487">
            <v>0</v>
          </cell>
        </row>
        <row r="1488">
          <cell r="C1488">
            <v>6168</v>
          </cell>
          <cell r="D1488" t="str">
            <v>Macy</v>
          </cell>
          <cell r="E1488" t="str">
            <v>Full Staff</v>
          </cell>
          <cell r="F1488" t="str">
            <v>Macy Herold Square</v>
          </cell>
          <cell r="G1488" t="str">
            <v>Macy</v>
          </cell>
          <cell r="H1488" t="str">
            <v>SG_05_01 Sun Glass Hut_Macys FS_OWNED</v>
          </cell>
          <cell r="I1488" t="str">
            <v>0000006168 Herald Square - Macy's Mens</v>
          </cell>
          <cell r="J1488" t="str">
            <v>Department - FLG</v>
          </cell>
          <cell r="K1488">
            <v>0</v>
          </cell>
        </row>
        <row r="1489">
          <cell r="C1489">
            <v>6171</v>
          </cell>
          <cell r="D1489" t="str">
            <v>Macy</v>
          </cell>
          <cell r="E1489" t="str">
            <v>Full Staff</v>
          </cell>
          <cell r="F1489" t="str">
            <v>Macys - VT2</v>
          </cell>
          <cell r="G1489" t="str">
            <v>Macy</v>
          </cell>
          <cell r="H1489" t="str">
            <v>SG_05_01 Sun Glass Hut_Macys FS_OWNED</v>
          </cell>
          <cell r="I1489" t="str">
            <v>0000006171 Westfarms Mall - Macy's</v>
          </cell>
          <cell r="J1489" t="str">
            <v>Department - VT2</v>
          </cell>
          <cell r="K1489">
            <v>0</v>
          </cell>
        </row>
        <row r="1490">
          <cell r="C1490">
            <v>6173</v>
          </cell>
          <cell r="D1490" t="str">
            <v>Macy</v>
          </cell>
          <cell r="E1490" t="str">
            <v>Full Staff</v>
          </cell>
          <cell r="F1490" t="str">
            <v>Macys - VT1</v>
          </cell>
          <cell r="G1490" t="str">
            <v>Macy</v>
          </cell>
          <cell r="H1490" t="str">
            <v>SG_05_01 Sun Glass Hut_Macys FS_OWNED</v>
          </cell>
          <cell r="I1490" t="str">
            <v>0000006173 Manhasset - Macy's</v>
          </cell>
          <cell r="J1490" t="str">
            <v>Department - VT1</v>
          </cell>
          <cell r="K1490">
            <v>0</v>
          </cell>
        </row>
        <row r="1491">
          <cell r="C1491">
            <v>6174</v>
          </cell>
          <cell r="D1491" t="str">
            <v>Macy</v>
          </cell>
          <cell r="E1491" t="str">
            <v>Full Staff</v>
          </cell>
          <cell r="F1491" t="str">
            <v>Macys - VT2</v>
          </cell>
          <cell r="G1491" t="str">
            <v>Macy</v>
          </cell>
          <cell r="H1491" t="str">
            <v>SG_05_01 Sun Glass Hut_Macys FS_OWNED</v>
          </cell>
          <cell r="I1491" t="str">
            <v>0000006174 Kings Plaza - Macy's</v>
          </cell>
          <cell r="J1491" t="str">
            <v>Department - VT2</v>
          </cell>
          <cell r="K1491">
            <v>0</v>
          </cell>
        </row>
        <row r="1492">
          <cell r="C1492">
            <v>6175</v>
          </cell>
          <cell r="D1492" t="str">
            <v>Macy</v>
          </cell>
          <cell r="E1492" t="str">
            <v>Full Staff</v>
          </cell>
          <cell r="F1492" t="str">
            <v>Macys - VT1</v>
          </cell>
          <cell r="G1492" t="str">
            <v>Macy</v>
          </cell>
          <cell r="H1492" t="str">
            <v>SG_05_01 Sun Glass Hut_Macys FS_OWNED</v>
          </cell>
          <cell r="I1492" t="str">
            <v>0000006175 Staten Island Mall - Macy's</v>
          </cell>
          <cell r="J1492" t="str">
            <v>Department - VT1</v>
          </cell>
          <cell r="K1492">
            <v>0</v>
          </cell>
        </row>
        <row r="1493">
          <cell r="C1493">
            <v>6176</v>
          </cell>
          <cell r="D1493" t="str">
            <v>Macy</v>
          </cell>
          <cell r="E1493" t="str">
            <v>Full Staff</v>
          </cell>
          <cell r="F1493" t="str">
            <v>Macys - VT1</v>
          </cell>
          <cell r="G1493" t="str">
            <v>Macy</v>
          </cell>
          <cell r="H1493" t="str">
            <v>SG_05_01 Sun Glass Hut_Macys FS_OWNED</v>
          </cell>
          <cell r="I1493" t="str">
            <v>0000006176 Menlo Park Mall - Macy's</v>
          </cell>
          <cell r="J1493" t="str">
            <v>Department - VT1</v>
          </cell>
          <cell r="K1493">
            <v>0</v>
          </cell>
        </row>
        <row r="1494">
          <cell r="C1494">
            <v>6177</v>
          </cell>
          <cell r="D1494" t="str">
            <v>Macy</v>
          </cell>
          <cell r="E1494" t="str">
            <v>Full Staff</v>
          </cell>
          <cell r="F1494" t="str">
            <v>Macys - VT3</v>
          </cell>
          <cell r="G1494" t="str">
            <v>Macy</v>
          </cell>
          <cell r="H1494" t="str">
            <v>SG_05_01 Sun Glass Hut_Macys FS_OWNED</v>
          </cell>
          <cell r="I1494" t="str">
            <v>0000006177 Woodbridge Center - Macy's</v>
          </cell>
          <cell r="J1494" t="str">
            <v>Department - VT3</v>
          </cell>
          <cell r="K1494">
            <v>0</v>
          </cell>
        </row>
        <row r="1495">
          <cell r="C1495">
            <v>6178</v>
          </cell>
          <cell r="D1495" t="str">
            <v>Macy</v>
          </cell>
          <cell r="E1495" t="str">
            <v>Full Staff</v>
          </cell>
          <cell r="F1495" t="str">
            <v>Macys - VT2</v>
          </cell>
          <cell r="G1495" t="str">
            <v>Macy</v>
          </cell>
          <cell r="H1495" t="str">
            <v>SG_05_01 Sun Glass Hut_Macys FS_OWNED</v>
          </cell>
          <cell r="I1495" t="str">
            <v>0000006178 Paramus Park Mall - Macy's</v>
          </cell>
          <cell r="J1495" t="str">
            <v>Department - VT2</v>
          </cell>
          <cell r="K1495">
            <v>0</v>
          </cell>
        </row>
        <row r="1496">
          <cell r="C1496">
            <v>6179</v>
          </cell>
          <cell r="D1496" t="str">
            <v>Macy</v>
          </cell>
          <cell r="E1496" t="str">
            <v>Full Staff</v>
          </cell>
          <cell r="F1496" t="str">
            <v>Macys - VT3</v>
          </cell>
          <cell r="G1496" t="str">
            <v>Macy</v>
          </cell>
          <cell r="H1496" t="str">
            <v>SG_05_01 Sun Glass Hut_Macys FS_OWNED</v>
          </cell>
          <cell r="I1496" t="str">
            <v>0000006179 Fair Oaks Mall - Macy's</v>
          </cell>
          <cell r="J1496" t="str">
            <v>Department - VT3</v>
          </cell>
          <cell r="K1496">
            <v>0</v>
          </cell>
        </row>
        <row r="1497">
          <cell r="C1497">
            <v>6180</v>
          </cell>
          <cell r="D1497" t="str">
            <v>Macy</v>
          </cell>
          <cell r="E1497" t="str">
            <v>Full Staff</v>
          </cell>
          <cell r="F1497" t="str">
            <v>Macys - VT1</v>
          </cell>
          <cell r="G1497" t="str">
            <v>Macy</v>
          </cell>
          <cell r="H1497" t="str">
            <v>SG_05_01 Sun Glass Hut_Macys FS_OWNED</v>
          </cell>
          <cell r="I1497" t="str">
            <v>0000006180 Smith Haven Mall - Macy's</v>
          </cell>
          <cell r="J1497" t="str">
            <v>Department - VT1</v>
          </cell>
          <cell r="K1497">
            <v>0</v>
          </cell>
        </row>
        <row r="1498">
          <cell r="C1498">
            <v>6181</v>
          </cell>
          <cell r="D1498" t="str">
            <v>Macy</v>
          </cell>
          <cell r="E1498" t="str">
            <v>Full Staff</v>
          </cell>
          <cell r="F1498" t="str">
            <v>Macys - VT3</v>
          </cell>
          <cell r="G1498" t="str">
            <v>Macy</v>
          </cell>
          <cell r="H1498" t="str">
            <v>SG_05_01 Sun Glass Hut_Macys FS_OWNED</v>
          </cell>
          <cell r="I1498" t="str">
            <v>0000006181 Wheaton Plaza - Macy's</v>
          </cell>
          <cell r="J1498" t="str">
            <v>Department - VT3</v>
          </cell>
          <cell r="K1498">
            <v>0</v>
          </cell>
        </row>
        <row r="1499">
          <cell r="C1499">
            <v>6182</v>
          </cell>
          <cell r="D1499" t="str">
            <v>Macy</v>
          </cell>
          <cell r="E1499" t="str">
            <v>Full Staff</v>
          </cell>
          <cell r="F1499" t="str">
            <v>Macys - VT2</v>
          </cell>
          <cell r="G1499" t="str">
            <v>Macy</v>
          </cell>
          <cell r="H1499" t="str">
            <v>SG_05_01 Sun Glass Hut_Macys FS_OWNED</v>
          </cell>
          <cell r="I1499" t="str">
            <v>0000006182 The Mall at Short Hills - Macy</v>
          </cell>
          <cell r="J1499" t="str">
            <v>Department - VT2</v>
          </cell>
          <cell r="K1499">
            <v>0</v>
          </cell>
        </row>
        <row r="1500">
          <cell r="C1500">
            <v>6183</v>
          </cell>
          <cell r="D1500" t="str">
            <v>Macy</v>
          </cell>
          <cell r="E1500" t="str">
            <v>Full Staff</v>
          </cell>
          <cell r="F1500" t="str">
            <v>Macys - VT3</v>
          </cell>
          <cell r="G1500" t="str">
            <v>Macy</v>
          </cell>
          <cell r="H1500" t="str">
            <v>SG_05_01 Sun Glass Hut_Macys FS_OWNED</v>
          </cell>
          <cell r="I1500" t="str">
            <v>0000006183 Livingston Mall - Macy's</v>
          </cell>
          <cell r="J1500" t="str">
            <v>Department - VT3</v>
          </cell>
          <cell r="K1500">
            <v>0</v>
          </cell>
        </row>
        <row r="1501">
          <cell r="C1501">
            <v>6184</v>
          </cell>
          <cell r="D1501" t="str">
            <v>Macy</v>
          </cell>
          <cell r="E1501" t="str">
            <v>Full Staff</v>
          </cell>
          <cell r="F1501" t="str">
            <v>Macys - VT2</v>
          </cell>
          <cell r="G1501" t="str">
            <v>Macy</v>
          </cell>
          <cell r="H1501" t="str">
            <v>SG_05_01 Sun Glass Hut_Macys FS_OWNED</v>
          </cell>
          <cell r="I1501" t="str">
            <v>0000006184 Freehold Raceway Mall - Macy's</v>
          </cell>
          <cell r="J1501" t="str">
            <v>Department - VT2</v>
          </cell>
          <cell r="K1501">
            <v>0</v>
          </cell>
        </row>
        <row r="1502">
          <cell r="C1502">
            <v>6185</v>
          </cell>
          <cell r="D1502" t="str">
            <v>Macy</v>
          </cell>
          <cell r="E1502" t="str">
            <v>Full Staff</v>
          </cell>
          <cell r="F1502" t="str">
            <v>Macys - VT2</v>
          </cell>
          <cell r="G1502" t="str">
            <v>Macy</v>
          </cell>
          <cell r="H1502" t="str">
            <v>SG_05_01 Sun Glass Hut_Macys FS_OWNED</v>
          </cell>
          <cell r="I1502" t="str">
            <v>0000006185 Green Acres Mall - Macy's</v>
          </cell>
          <cell r="J1502" t="str">
            <v>Department - VT2</v>
          </cell>
          <cell r="K1502">
            <v>0</v>
          </cell>
        </row>
        <row r="1503">
          <cell r="C1503">
            <v>6187</v>
          </cell>
          <cell r="D1503" t="str">
            <v>Macy</v>
          </cell>
          <cell r="E1503" t="str">
            <v>Full Staff</v>
          </cell>
          <cell r="F1503" t="str">
            <v>Macys - VT3</v>
          </cell>
          <cell r="G1503" t="str">
            <v>Macy</v>
          </cell>
          <cell r="H1503" t="str">
            <v>SG_05_01 Sun Glass Hut_Macys FS_OWNED</v>
          </cell>
          <cell r="I1503" t="str">
            <v>0000006187 Stamford Town Center - Macy's</v>
          </cell>
          <cell r="J1503" t="str">
            <v>Department - VT3</v>
          </cell>
          <cell r="K1503">
            <v>0</v>
          </cell>
        </row>
        <row r="1504">
          <cell r="C1504">
            <v>6188</v>
          </cell>
          <cell r="D1504" t="str">
            <v>Macy</v>
          </cell>
          <cell r="E1504" t="str">
            <v>Full Staff</v>
          </cell>
          <cell r="F1504" t="str">
            <v>Macys - VT2</v>
          </cell>
          <cell r="G1504" t="str">
            <v>Macy</v>
          </cell>
          <cell r="H1504" t="str">
            <v>SG_05_01 Sun Glass Hut_Macys FS_OWNED</v>
          </cell>
          <cell r="I1504" t="str">
            <v>0000006188 Parkchester - Macy's</v>
          </cell>
          <cell r="J1504" t="str">
            <v>Department - VT2</v>
          </cell>
          <cell r="K1504">
            <v>0</v>
          </cell>
        </row>
        <row r="1505">
          <cell r="C1505">
            <v>6189</v>
          </cell>
          <cell r="D1505" t="str">
            <v>Macy</v>
          </cell>
          <cell r="E1505" t="str">
            <v>Full Staff</v>
          </cell>
          <cell r="F1505" t="str">
            <v>Macys - VT1</v>
          </cell>
          <cell r="G1505" t="str">
            <v>Macy</v>
          </cell>
          <cell r="H1505" t="str">
            <v>SG_05_01 Sun Glass Hut_Macys FS_OWNED</v>
          </cell>
          <cell r="I1505" t="str">
            <v>0000006189 Tysons Corner Center - Macy's</v>
          </cell>
          <cell r="J1505" t="str">
            <v>Department - VT1</v>
          </cell>
          <cell r="K1505">
            <v>0</v>
          </cell>
        </row>
        <row r="1506">
          <cell r="C1506">
            <v>6191</v>
          </cell>
          <cell r="D1506" t="str">
            <v>Macy</v>
          </cell>
          <cell r="E1506" t="str">
            <v>Full Staff</v>
          </cell>
          <cell r="F1506" t="str">
            <v>Macys - VT3</v>
          </cell>
          <cell r="G1506" t="str">
            <v>Macy</v>
          </cell>
          <cell r="H1506" t="str">
            <v>SG_05_01 Sun Glass Hut_Macys FS_OWNED</v>
          </cell>
          <cell r="I1506" t="str">
            <v>0000006191 St. Charles Towne Center - Mac</v>
          </cell>
          <cell r="J1506" t="str">
            <v>Department - VT3</v>
          </cell>
          <cell r="K1506">
            <v>0</v>
          </cell>
        </row>
        <row r="1507">
          <cell r="C1507">
            <v>6195</v>
          </cell>
          <cell r="D1507" t="str">
            <v>Macy</v>
          </cell>
          <cell r="E1507" t="str">
            <v>Full Staff</v>
          </cell>
          <cell r="F1507" t="str">
            <v>Macys - VT2</v>
          </cell>
          <cell r="G1507" t="str">
            <v>Macy</v>
          </cell>
          <cell r="H1507" t="str">
            <v>SG_05_01 Sun Glass Hut_Macys FS_OWNED</v>
          </cell>
          <cell r="I1507" t="str">
            <v>0000006195 Danbury Fair Mall - Macy's</v>
          </cell>
          <cell r="J1507" t="str">
            <v>Department - VT2</v>
          </cell>
          <cell r="K1507">
            <v>0</v>
          </cell>
        </row>
        <row r="1508">
          <cell r="C1508">
            <v>6196</v>
          </cell>
          <cell r="D1508" t="str">
            <v>Macy</v>
          </cell>
          <cell r="E1508" t="str">
            <v>Full Staff</v>
          </cell>
          <cell r="F1508" t="str">
            <v>Macys - VT3</v>
          </cell>
          <cell r="G1508" t="str">
            <v>Macy</v>
          </cell>
          <cell r="H1508" t="str">
            <v>SG_05_01 Sun Glass Hut_Macys FS_OWNED</v>
          </cell>
          <cell r="I1508" t="str">
            <v>0000006196 Mall of New Hampshire - Macy's</v>
          </cell>
          <cell r="J1508" t="str">
            <v>Department - VT3</v>
          </cell>
          <cell r="K1508">
            <v>0</v>
          </cell>
        </row>
        <row r="1509">
          <cell r="C1509">
            <v>6197</v>
          </cell>
          <cell r="D1509" t="str">
            <v>Macy</v>
          </cell>
          <cell r="E1509" t="str">
            <v>Full Staff</v>
          </cell>
          <cell r="F1509" t="str">
            <v>Macys - VT3</v>
          </cell>
          <cell r="G1509" t="str">
            <v>Macy</v>
          </cell>
          <cell r="H1509" t="str">
            <v>SG_05_01 Sun Glass Hut_Macys FS_OWNED</v>
          </cell>
          <cell r="I1509" t="str">
            <v>0000006197 Galleria at White Plains - Mac</v>
          </cell>
          <cell r="J1509" t="str">
            <v>Department - VT3</v>
          </cell>
          <cell r="K1509">
            <v>0</v>
          </cell>
        </row>
        <row r="1510">
          <cell r="C1510">
            <v>6198</v>
          </cell>
          <cell r="D1510" t="str">
            <v>Macy</v>
          </cell>
          <cell r="E1510" t="str">
            <v>Full Staff</v>
          </cell>
          <cell r="F1510" t="str">
            <v>Macys - VT1</v>
          </cell>
          <cell r="G1510" t="str">
            <v>Macy</v>
          </cell>
          <cell r="H1510" t="str">
            <v>SG_05_01 Sun Glass Hut_Macys FS_OWNED</v>
          </cell>
          <cell r="I1510" t="str">
            <v>0000006198 Downtown Boston - Macy's</v>
          </cell>
          <cell r="J1510" t="str">
            <v>Department - VT1</v>
          </cell>
          <cell r="K1510">
            <v>0</v>
          </cell>
        </row>
        <row r="1511">
          <cell r="C1511">
            <v>6199</v>
          </cell>
          <cell r="D1511" t="str">
            <v>Macy</v>
          </cell>
          <cell r="E1511" t="str">
            <v>Full Staff</v>
          </cell>
          <cell r="F1511" t="str">
            <v>Macys - VT2</v>
          </cell>
          <cell r="G1511" t="str">
            <v>Macy</v>
          </cell>
          <cell r="H1511" t="str">
            <v>SG_05_01 Sun Glass Hut_Macys FS_OWNED</v>
          </cell>
          <cell r="I1511" t="str">
            <v>0000006199 Sunrise Mall - Macy's</v>
          </cell>
          <cell r="J1511" t="str">
            <v>Department - VT2</v>
          </cell>
          <cell r="K1511">
            <v>0</v>
          </cell>
        </row>
        <row r="1512">
          <cell r="C1512">
            <v>6201</v>
          </cell>
          <cell r="D1512" t="str">
            <v>Macy</v>
          </cell>
          <cell r="E1512" t="str">
            <v>Full Staff</v>
          </cell>
          <cell r="F1512" t="str">
            <v>Macys - VT1</v>
          </cell>
          <cell r="G1512" t="str">
            <v>Macy</v>
          </cell>
          <cell r="H1512" t="str">
            <v>SG_05_01 Sun Glass Hut_Macys FS_OWNED</v>
          </cell>
          <cell r="I1512" t="str">
            <v>0000006201 Montgomery Mall - Macy's</v>
          </cell>
          <cell r="J1512" t="str">
            <v>Department - VT1</v>
          </cell>
          <cell r="K1512">
            <v>0</v>
          </cell>
        </row>
        <row r="1513">
          <cell r="C1513">
            <v>6207</v>
          </cell>
          <cell r="D1513" t="str">
            <v>Macy</v>
          </cell>
          <cell r="E1513" t="str">
            <v>Full Staff</v>
          </cell>
          <cell r="F1513" t="str">
            <v>Macys - VT2</v>
          </cell>
          <cell r="G1513" t="str">
            <v>Macy</v>
          </cell>
          <cell r="H1513" t="str">
            <v>SG_05_01 Sun Glass Hut_Macys FS_OWNED</v>
          </cell>
          <cell r="I1513" t="str">
            <v>0000006207 Northshore Mall - Macy's</v>
          </cell>
          <cell r="J1513" t="str">
            <v>Department - VT2</v>
          </cell>
          <cell r="K1513">
            <v>0</v>
          </cell>
        </row>
        <row r="1514">
          <cell r="C1514">
            <v>6212</v>
          </cell>
          <cell r="D1514" t="str">
            <v>Macy</v>
          </cell>
          <cell r="E1514" t="str">
            <v>Full Staff</v>
          </cell>
          <cell r="F1514" t="str">
            <v>Macys - VT1</v>
          </cell>
          <cell r="G1514" t="str">
            <v>Macy</v>
          </cell>
          <cell r="H1514" t="str">
            <v>SG_05_01 Sun Glass Hut_Macys FS_OWNED</v>
          </cell>
          <cell r="I1514" t="str">
            <v>0000006212 South Shore Plaza - Macy's</v>
          </cell>
          <cell r="J1514" t="str">
            <v>Department - VT1</v>
          </cell>
          <cell r="K1514">
            <v>0</v>
          </cell>
        </row>
        <row r="1515">
          <cell r="C1515">
            <v>6217</v>
          </cell>
          <cell r="D1515" t="str">
            <v>Macy</v>
          </cell>
          <cell r="E1515" t="str">
            <v>Full Staff</v>
          </cell>
          <cell r="F1515" t="str">
            <v>Macys - VT1</v>
          </cell>
          <cell r="G1515" t="str">
            <v>Macy</v>
          </cell>
          <cell r="H1515" t="str">
            <v>SG_05_01 Sun Glass Hut_Macys FS_OWNED</v>
          </cell>
          <cell r="I1515" t="str">
            <v>0000006217 Burlington Mall - Macy's</v>
          </cell>
          <cell r="J1515" t="str">
            <v>Department - VT1</v>
          </cell>
          <cell r="K1515">
            <v>0</v>
          </cell>
        </row>
        <row r="1516">
          <cell r="C1516">
            <v>6219</v>
          </cell>
          <cell r="D1516" t="str">
            <v>Macy</v>
          </cell>
          <cell r="E1516" t="str">
            <v>Full Staff</v>
          </cell>
          <cell r="F1516" t="str">
            <v>Macys - VT3</v>
          </cell>
          <cell r="G1516" t="str">
            <v>Macy</v>
          </cell>
          <cell r="H1516" t="str">
            <v>SG_05_01 Sun Glass Hut_Macys FS_OWNED</v>
          </cell>
          <cell r="I1516" t="str">
            <v>0000006219 The Maine Mall - Macy's</v>
          </cell>
          <cell r="J1516" t="str">
            <v>Department - VT3</v>
          </cell>
          <cell r="K1516">
            <v>0</v>
          </cell>
        </row>
        <row r="1517">
          <cell r="C1517">
            <v>6222</v>
          </cell>
          <cell r="D1517" t="str">
            <v>Macy</v>
          </cell>
          <cell r="E1517" t="str">
            <v>Full Staff</v>
          </cell>
          <cell r="F1517" t="str">
            <v>Macys - VT2</v>
          </cell>
          <cell r="G1517" t="str">
            <v>Macy</v>
          </cell>
          <cell r="H1517" t="str">
            <v>SG_05_01 Sun Glass Hut_Macys FS_OWNED</v>
          </cell>
          <cell r="I1517" t="str">
            <v>0000006222 Warwick Mall - Macy's</v>
          </cell>
          <cell r="J1517" t="str">
            <v>Department - VT2</v>
          </cell>
          <cell r="K1517">
            <v>0</v>
          </cell>
        </row>
        <row r="1518">
          <cell r="C1518">
            <v>6223</v>
          </cell>
          <cell r="D1518" t="str">
            <v>Macy</v>
          </cell>
          <cell r="E1518" t="str">
            <v>Full Staff</v>
          </cell>
          <cell r="F1518" t="str">
            <v>Macys - VT3</v>
          </cell>
          <cell r="G1518" t="str">
            <v>Macy</v>
          </cell>
          <cell r="H1518" t="str">
            <v>SG_05_01 Sun Glass Hut_Macys FS_OWNED</v>
          </cell>
          <cell r="I1518" t="str">
            <v>0000006223 Natick Mall - Macy's</v>
          </cell>
          <cell r="J1518" t="str">
            <v>Department - VT3</v>
          </cell>
          <cell r="K1518">
            <v>0</v>
          </cell>
        </row>
        <row r="1519">
          <cell r="C1519">
            <v>6224</v>
          </cell>
          <cell r="D1519" t="str">
            <v>Macy</v>
          </cell>
          <cell r="E1519" t="str">
            <v>Full Staff</v>
          </cell>
          <cell r="F1519" t="str">
            <v>Macys - VT2</v>
          </cell>
          <cell r="G1519" t="str">
            <v>Macy</v>
          </cell>
          <cell r="H1519" t="str">
            <v>SG_05_01 Sun Glass Hut_Macys FS_OWNED</v>
          </cell>
          <cell r="I1519" t="str">
            <v>0000006224 Mall at Rockingham Park - Macy</v>
          </cell>
          <cell r="J1519" t="str">
            <v>Department - VT2</v>
          </cell>
          <cell r="K1519">
            <v>0</v>
          </cell>
        </row>
        <row r="1520">
          <cell r="C1520">
            <v>6233</v>
          </cell>
          <cell r="D1520" t="str">
            <v>Macy</v>
          </cell>
          <cell r="E1520" t="str">
            <v>Full Staff</v>
          </cell>
          <cell r="F1520" t="str">
            <v>Macys - VT2</v>
          </cell>
          <cell r="G1520" t="str">
            <v>Macy</v>
          </cell>
          <cell r="H1520" t="str">
            <v>SG_05_01 Sun Glass Hut_Macys FS_OWNED</v>
          </cell>
          <cell r="I1520" t="str">
            <v>0000006233 Cape Cod Mall - Macy's</v>
          </cell>
          <cell r="J1520" t="str">
            <v>Department - VT2</v>
          </cell>
          <cell r="K1520">
            <v>0</v>
          </cell>
        </row>
        <row r="1521">
          <cell r="C1521">
            <v>6236</v>
          </cell>
          <cell r="D1521" t="str">
            <v>Macy</v>
          </cell>
          <cell r="E1521" t="str">
            <v>Full Staff</v>
          </cell>
          <cell r="F1521" t="str">
            <v>Macys - VT2</v>
          </cell>
          <cell r="G1521" t="str">
            <v>Macy</v>
          </cell>
          <cell r="H1521" t="str">
            <v>SG_05_01 Sun Glass Hut_Macys FS_OWNED</v>
          </cell>
          <cell r="I1521" t="str">
            <v>0000006236 The Mall in Columbia - Macy's</v>
          </cell>
          <cell r="J1521" t="str">
            <v>Department - VT2</v>
          </cell>
          <cell r="K1521">
            <v>0</v>
          </cell>
        </row>
        <row r="1522">
          <cell r="C1522">
            <v>6241</v>
          </cell>
          <cell r="D1522" t="str">
            <v>Macy</v>
          </cell>
          <cell r="E1522" t="str">
            <v>Full Staff</v>
          </cell>
          <cell r="F1522" t="str">
            <v>Macys - VT3</v>
          </cell>
          <cell r="G1522" t="str">
            <v>Macy</v>
          </cell>
          <cell r="H1522" t="str">
            <v>SG_05_01 Sun Glass Hut_Macys FS_OWNED</v>
          </cell>
          <cell r="I1522" t="str">
            <v>0000006241 Annapolis Mall - Macy's</v>
          </cell>
          <cell r="J1522" t="str">
            <v>Department - VT3</v>
          </cell>
          <cell r="K1522">
            <v>0</v>
          </cell>
        </row>
        <row r="1523">
          <cell r="C1523">
            <v>6248</v>
          </cell>
          <cell r="D1523" t="str">
            <v>Macy</v>
          </cell>
          <cell r="E1523" t="str">
            <v>Full Staff</v>
          </cell>
          <cell r="F1523" t="str">
            <v>Macys - VT3</v>
          </cell>
          <cell r="G1523" t="str">
            <v>Macy</v>
          </cell>
          <cell r="H1523" t="str">
            <v>SG_05_01 Sun Glass Hut_Macys FS_OWNED</v>
          </cell>
          <cell r="I1523" t="str">
            <v>0000006248 Crossgates Mall - Macy's</v>
          </cell>
          <cell r="J1523" t="str">
            <v>Department - VT3</v>
          </cell>
          <cell r="K1523">
            <v>0</v>
          </cell>
        </row>
        <row r="1524">
          <cell r="C1524">
            <v>6250</v>
          </cell>
          <cell r="D1524" t="str">
            <v>Macy</v>
          </cell>
          <cell r="E1524" t="str">
            <v>Full Staff</v>
          </cell>
          <cell r="F1524" t="str">
            <v>Macys - VT3</v>
          </cell>
          <cell r="G1524" t="str">
            <v>Macy</v>
          </cell>
          <cell r="H1524" t="str">
            <v>SG_05_01 Sun Glass Hut_Macys FS_OWNED</v>
          </cell>
          <cell r="I1524" t="str">
            <v>0000006250 Pheasant Lane Mall - Macy's</v>
          </cell>
          <cell r="J1524" t="str">
            <v>Department - VT3</v>
          </cell>
          <cell r="K1524">
            <v>0</v>
          </cell>
        </row>
        <row r="1525">
          <cell r="C1525">
            <v>6251</v>
          </cell>
          <cell r="D1525" t="str">
            <v>Macy</v>
          </cell>
          <cell r="E1525" t="str">
            <v>Full Staff</v>
          </cell>
          <cell r="F1525" t="str">
            <v>Macys - VT3</v>
          </cell>
          <cell r="G1525" t="str">
            <v>Macy</v>
          </cell>
          <cell r="H1525" t="str">
            <v>SG_05_01 Sun Glass Hut_Macys FS_OWNED</v>
          </cell>
          <cell r="I1525" t="str">
            <v>0000006251 Trumbull Shopping Mall - Macy'</v>
          </cell>
          <cell r="J1525" t="str">
            <v>Department - VT3</v>
          </cell>
          <cell r="K1525">
            <v>0</v>
          </cell>
        </row>
        <row r="1526">
          <cell r="C1526">
            <v>6253</v>
          </cell>
          <cell r="D1526" t="str">
            <v>Macy</v>
          </cell>
          <cell r="E1526" t="str">
            <v>Full Staff</v>
          </cell>
          <cell r="F1526" t="str">
            <v>Macys - VT2</v>
          </cell>
          <cell r="G1526" t="str">
            <v>Macy</v>
          </cell>
          <cell r="H1526" t="str">
            <v>SG_05_01 Sun Glass Hut_Macys FS_OWNED</v>
          </cell>
          <cell r="I1526" t="str">
            <v>0000006253 Monmouth Mall - Macy's</v>
          </cell>
          <cell r="J1526" t="str">
            <v>Department - VT2</v>
          </cell>
          <cell r="K1526">
            <v>0</v>
          </cell>
        </row>
        <row r="1527">
          <cell r="C1527">
            <v>6254</v>
          </cell>
          <cell r="D1527" t="str">
            <v>Macy</v>
          </cell>
          <cell r="E1527" t="str">
            <v>Full Staff</v>
          </cell>
          <cell r="F1527" t="str">
            <v>Macys - VT1</v>
          </cell>
          <cell r="G1527" t="str">
            <v>Macy</v>
          </cell>
          <cell r="H1527" t="str">
            <v>SG_05_01 Sun Glass Hut_Macys FS_OWNED</v>
          </cell>
          <cell r="I1527" t="str">
            <v>0000006254 Roosevelt Field - Macy's</v>
          </cell>
          <cell r="J1527" t="str">
            <v>Department - VT1 - Spec</v>
          </cell>
          <cell r="K1527">
            <v>0</v>
          </cell>
        </row>
        <row r="1528">
          <cell r="C1528">
            <v>6255</v>
          </cell>
          <cell r="D1528" t="str">
            <v>Macy</v>
          </cell>
          <cell r="E1528" t="str">
            <v>Full Staff</v>
          </cell>
          <cell r="F1528" t="str">
            <v>Macys - VT2</v>
          </cell>
          <cell r="G1528" t="str">
            <v>Macy</v>
          </cell>
          <cell r="H1528" t="str">
            <v>SG_05_01 Sun Glass Hut_Macys FS_OWNED</v>
          </cell>
          <cell r="I1528" t="str">
            <v>0000006255 Willow Grove Park - Macy's</v>
          </cell>
          <cell r="J1528" t="str">
            <v>Department - VT2</v>
          </cell>
          <cell r="K1528">
            <v>0</v>
          </cell>
        </row>
        <row r="1529">
          <cell r="C1529">
            <v>6263</v>
          </cell>
          <cell r="D1529" t="str">
            <v>Macy</v>
          </cell>
          <cell r="E1529" t="str">
            <v>Full Staff</v>
          </cell>
          <cell r="F1529" t="str">
            <v>Macys - VT3</v>
          </cell>
          <cell r="G1529" t="str">
            <v>Macy</v>
          </cell>
          <cell r="H1529" t="str">
            <v>SG_05_01 Sun Glass Hut_Macys FS_OWNED</v>
          </cell>
          <cell r="I1529" t="str">
            <v>0000006263 Jefferson Valley Mall - Macy's</v>
          </cell>
          <cell r="J1529" t="str">
            <v>Department - VT3</v>
          </cell>
          <cell r="K1529">
            <v>0</v>
          </cell>
        </row>
        <row r="1530">
          <cell r="C1530">
            <v>6272</v>
          </cell>
          <cell r="D1530" t="str">
            <v>Macy</v>
          </cell>
          <cell r="E1530" t="str">
            <v>Full Staff</v>
          </cell>
          <cell r="F1530" t="str">
            <v>Macys - VT1</v>
          </cell>
          <cell r="G1530" t="str">
            <v>Macy</v>
          </cell>
          <cell r="H1530" t="str">
            <v>SG_05_01 Sun Glass Hut_Macys FS_OWNED</v>
          </cell>
          <cell r="I1530" t="str">
            <v>0000006272 Cherry Hill Mall - Macy's</v>
          </cell>
          <cell r="J1530" t="str">
            <v>Department - VT1</v>
          </cell>
          <cell r="K1530">
            <v>0</v>
          </cell>
        </row>
        <row r="1531">
          <cell r="C1531">
            <v>6277</v>
          </cell>
          <cell r="D1531" t="str">
            <v>Macy</v>
          </cell>
          <cell r="E1531" t="str">
            <v>Full Staff</v>
          </cell>
          <cell r="F1531" t="str">
            <v>Macys - VT3</v>
          </cell>
          <cell r="G1531" t="str">
            <v>Macy</v>
          </cell>
          <cell r="H1531" t="str">
            <v>SG_05_01 Sun Glass Hut_Macys FS_OWNED</v>
          </cell>
          <cell r="I1531" t="str">
            <v>0000006277 Harford Mall - Macy's</v>
          </cell>
          <cell r="J1531" t="str">
            <v>Department - VT3</v>
          </cell>
          <cell r="K1531">
            <v>0</v>
          </cell>
        </row>
        <row r="1532">
          <cell r="C1532">
            <v>6279</v>
          </cell>
          <cell r="D1532" t="str">
            <v>Macy</v>
          </cell>
          <cell r="E1532" t="str">
            <v>Full Staff</v>
          </cell>
          <cell r="F1532" t="str">
            <v>Macys - VT3</v>
          </cell>
          <cell r="G1532" t="str">
            <v>Macy</v>
          </cell>
          <cell r="H1532" t="str">
            <v>SG_05_01 Sun Glass Hut_Macys FS_OWNED</v>
          </cell>
          <cell r="I1532" t="str">
            <v>0000006279 Oxford Valley Mall - Macy's</v>
          </cell>
          <cell r="J1532" t="str">
            <v>Department - VT3</v>
          </cell>
          <cell r="K1532">
            <v>0</v>
          </cell>
        </row>
        <row r="1533">
          <cell r="C1533">
            <v>6280</v>
          </cell>
          <cell r="D1533" t="str">
            <v>Macy</v>
          </cell>
          <cell r="E1533" t="str">
            <v>Full Staff</v>
          </cell>
          <cell r="F1533" t="str">
            <v>Macys - VT3</v>
          </cell>
          <cell r="G1533" t="str">
            <v>Macy</v>
          </cell>
          <cell r="H1533" t="str">
            <v>SG_05_01 Sun Glass Hut_Macys FS_OWNED</v>
          </cell>
          <cell r="I1533" t="str">
            <v>0000006280 Quaker Bridge Mall - Macy's</v>
          </cell>
          <cell r="J1533" t="str">
            <v>Department - VT3</v>
          </cell>
          <cell r="K1533">
            <v>0</v>
          </cell>
        </row>
        <row r="1534">
          <cell r="C1534">
            <v>6281</v>
          </cell>
          <cell r="D1534" t="str">
            <v>Macy</v>
          </cell>
          <cell r="E1534" t="str">
            <v>Full Staff</v>
          </cell>
          <cell r="F1534" t="str">
            <v>Macys - VT2</v>
          </cell>
          <cell r="G1534" t="str">
            <v>Macy</v>
          </cell>
          <cell r="H1534" t="str">
            <v>SG_05_01 Sun Glass Hut_Macys FS_OWNED</v>
          </cell>
          <cell r="I1534" t="str">
            <v>0000006281 Deptford Mall - Macy's</v>
          </cell>
          <cell r="J1534" t="str">
            <v>Department - VT2</v>
          </cell>
          <cell r="K1534">
            <v>0</v>
          </cell>
        </row>
        <row r="1535">
          <cell r="C1535">
            <v>6282</v>
          </cell>
          <cell r="D1535" t="str">
            <v>Macy</v>
          </cell>
          <cell r="E1535" t="str">
            <v>Full Staff</v>
          </cell>
          <cell r="F1535" t="str">
            <v>Macys - VT1</v>
          </cell>
          <cell r="G1535" t="str">
            <v>Macy</v>
          </cell>
          <cell r="H1535" t="str">
            <v>SG_05_01 Sun Glass Hut_Macys FS_OWNED</v>
          </cell>
          <cell r="I1535" t="str">
            <v>0000006282 Metro Center - Macy's</v>
          </cell>
          <cell r="J1535" t="str">
            <v>Department - VT1</v>
          </cell>
          <cell r="K1535">
            <v>0</v>
          </cell>
        </row>
        <row r="1536">
          <cell r="C1536">
            <v>6285</v>
          </cell>
          <cell r="D1536" t="str">
            <v>Macy</v>
          </cell>
          <cell r="E1536" t="str">
            <v>Full Staff</v>
          </cell>
          <cell r="F1536" t="str">
            <v>Macys - VT2</v>
          </cell>
          <cell r="G1536" t="str">
            <v>Macy</v>
          </cell>
          <cell r="H1536" t="str">
            <v>SG_05_01 Sun Glass Hut_Macys FS_OWNED</v>
          </cell>
          <cell r="I1536" t="str">
            <v>0000006285 Towson Town Center - Macy's</v>
          </cell>
          <cell r="J1536" t="str">
            <v>Department - VT2</v>
          </cell>
          <cell r="K1536">
            <v>0</v>
          </cell>
        </row>
        <row r="1537">
          <cell r="C1537">
            <v>6287</v>
          </cell>
          <cell r="D1537" t="str">
            <v>Macy</v>
          </cell>
          <cell r="E1537" t="str">
            <v>Full Staff</v>
          </cell>
          <cell r="F1537" t="str">
            <v>Macys - VT2</v>
          </cell>
          <cell r="G1537" t="str">
            <v>Macy</v>
          </cell>
          <cell r="H1537" t="str">
            <v>SG_05_01 Sun Glass Hut_Macys FS_OWNED</v>
          </cell>
          <cell r="I1537" t="str">
            <v>0000006287 Lehigh Valley Mall - Macy's</v>
          </cell>
          <cell r="J1537" t="str">
            <v>Department - VT2</v>
          </cell>
          <cell r="K1537">
            <v>0</v>
          </cell>
        </row>
        <row r="1538">
          <cell r="C1538">
            <v>6290</v>
          </cell>
          <cell r="D1538" t="str">
            <v>Macy</v>
          </cell>
          <cell r="E1538" t="str">
            <v>Full Staff</v>
          </cell>
          <cell r="F1538" t="str">
            <v>Macys - VT2</v>
          </cell>
          <cell r="G1538" t="str">
            <v>Macy</v>
          </cell>
          <cell r="H1538" t="str">
            <v>SG_05_01 Sun Glass Hut_Macys FS_OWNED</v>
          </cell>
          <cell r="I1538" t="str">
            <v>0000006290 Ocean County Mall - Macy's</v>
          </cell>
          <cell r="J1538" t="str">
            <v>Department - VT2</v>
          </cell>
          <cell r="K1538">
            <v>0</v>
          </cell>
        </row>
        <row r="1539">
          <cell r="C1539">
            <v>6292</v>
          </cell>
          <cell r="D1539" t="str">
            <v>Macy</v>
          </cell>
          <cell r="E1539" t="str">
            <v>Full Staff</v>
          </cell>
          <cell r="F1539" t="str">
            <v>Macys - VT3</v>
          </cell>
          <cell r="G1539" t="str">
            <v>Macy</v>
          </cell>
          <cell r="H1539" t="str">
            <v>SG_05_01 Sun Glass Hut_Macys FS_OWNED</v>
          </cell>
          <cell r="I1539" t="str">
            <v>0000006292 Rockaway Townsquare - Macy's</v>
          </cell>
          <cell r="J1539" t="str">
            <v>Department - VT3</v>
          </cell>
          <cell r="K1539">
            <v>0</v>
          </cell>
        </row>
        <row r="1540">
          <cell r="C1540">
            <v>6293</v>
          </cell>
          <cell r="D1540" t="str">
            <v>Macy</v>
          </cell>
          <cell r="E1540" t="str">
            <v>Full Staff</v>
          </cell>
          <cell r="F1540" t="str">
            <v>Macys - VT3</v>
          </cell>
          <cell r="G1540" t="str">
            <v>Macy</v>
          </cell>
          <cell r="H1540" t="str">
            <v>SG_05_01 Sun Glass Hut_Macys FS_OWNED</v>
          </cell>
          <cell r="I1540" t="str">
            <v>0000006293 Montgomery Mall - Macy's</v>
          </cell>
          <cell r="J1540" t="str">
            <v>Department - VT3</v>
          </cell>
          <cell r="K1540">
            <v>0</v>
          </cell>
        </row>
        <row r="1541">
          <cell r="C1541">
            <v>6295</v>
          </cell>
          <cell r="D1541" t="str">
            <v>Macy</v>
          </cell>
          <cell r="E1541" t="str">
            <v>Full Staff</v>
          </cell>
          <cell r="F1541" t="str">
            <v>Macys - VT1</v>
          </cell>
          <cell r="G1541" t="str">
            <v>Macy</v>
          </cell>
          <cell r="H1541" t="str">
            <v>SG_05_01 Sun Glass Hut_Macys FS_OWNED</v>
          </cell>
          <cell r="I1541" t="str">
            <v>0000006295 Christiana Mall - Macy's</v>
          </cell>
          <cell r="J1541" t="str">
            <v>Department - VT1</v>
          </cell>
          <cell r="K1541">
            <v>0</v>
          </cell>
        </row>
        <row r="1542">
          <cell r="C1542">
            <v>6301</v>
          </cell>
          <cell r="D1542" t="str">
            <v>Macy</v>
          </cell>
          <cell r="E1542" t="str">
            <v>Full Staff</v>
          </cell>
          <cell r="F1542" t="str">
            <v>Macys - VT1</v>
          </cell>
          <cell r="G1542" t="str">
            <v>Macy</v>
          </cell>
          <cell r="H1542" t="str">
            <v>SG_05_01 Sun Glass Hut_Macys FS_OWNED</v>
          </cell>
          <cell r="I1542" t="str">
            <v>0000006301 Garden State Plaza Mall - Macy</v>
          </cell>
          <cell r="J1542" t="str">
            <v>Department - VT1</v>
          </cell>
          <cell r="K1542">
            <v>0</v>
          </cell>
        </row>
        <row r="1543">
          <cell r="C1543">
            <v>6302</v>
          </cell>
          <cell r="D1543" t="str">
            <v>Macy</v>
          </cell>
          <cell r="E1543" t="str">
            <v>Full Staff</v>
          </cell>
          <cell r="F1543" t="str">
            <v>Macys - VT1</v>
          </cell>
          <cell r="G1543" t="str">
            <v>Macy</v>
          </cell>
          <cell r="H1543" t="str">
            <v>SG_05_01 Sun Glass Hut_Macys FS_OWNED</v>
          </cell>
          <cell r="I1543" t="str">
            <v>0000006302 Willowbrook Mall - Macy's</v>
          </cell>
          <cell r="J1543" t="str">
            <v>Department - VT1</v>
          </cell>
          <cell r="K1543">
            <v>0</v>
          </cell>
        </row>
        <row r="1544">
          <cell r="C1544">
            <v>6312</v>
          </cell>
          <cell r="D1544" t="str">
            <v>Macy</v>
          </cell>
          <cell r="E1544" t="str">
            <v>Full Staff</v>
          </cell>
          <cell r="F1544" t="str">
            <v>Macys - VT3</v>
          </cell>
          <cell r="G1544" t="str">
            <v>Macy</v>
          </cell>
          <cell r="H1544" t="str">
            <v>SG_05_01 Sun Glass Hut_Macys FS_OWNED</v>
          </cell>
          <cell r="I1544" t="str">
            <v>0000006312 Tysons Galleria - Macy's</v>
          </cell>
          <cell r="J1544" t="str">
            <v>Department - VT3</v>
          </cell>
          <cell r="K1544">
            <v>0</v>
          </cell>
        </row>
        <row r="1545">
          <cell r="C1545">
            <v>6325</v>
          </cell>
          <cell r="D1545" t="str">
            <v>Macy</v>
          </cell>
          <cell r="E1545" t="str">
            <v>Full Staff</v>
          </cell>
          <cell r="F1545" t="str">
            <v>Macys - VT2</v>
          </cell>
          <cell r="G1545" t="str">
            <v>Macy</v>
          </cell>
          <cell r="H1545" t="str">
            <v>SG_05_01 Sun Glass Hut_Macys FS_OWNED</v>
          </cell>
          <cell r="I1545" t="str">
            <v>0000006325 Hamilton Mall - Macy's</v>
          </cell>
          <cell r="J1545" t="str">
            <v>Department - VT2</v>
          </cell>
          <cell r="K1545">
            <v>0</v>
          </cell>
        </row>
        <row r="1546">
          <cell r="C1546">
            <v>6326</v>
          </cell>
          <cell r="D1546" t="str">
            <v>Macy</v>
          </cell>
          <cell r="E1546" t="str">
            <v>Full Staff</v>
          </cell>
          <cell r="F1546" t="str">
            <v>Macys - VT1</v>
          </cell>
          <cell r="G1546" t="str">
            <v>Macy</v>
          </cell>
          <cell r="H1546" t="str">
            <v>SG_05_01 Sun Glass Hut_Macys FS_OWNED</v>
          </cell>
          <cell r="I1546" t="str">
            <v>0000006326 Bridgewater Commons - Macy's</v>
          </cell>
          <cell r="J1546" t="str">
            <v>Department - VT1</v>
          </cell>
          <cell r="K1546">
            <v>0</v>
          </cell>
        </row>
        <row r="1547">
          <cell r="C1547">
            <v>6330</v>
          </cell>
          <cell r="D1547" t="str">
            <v>Macy</v>
          </cell>
          <cell r="E1547" t="str">
            <v>Full Staff</v>
          </cell>
          <cell r="F1547" t="str">
            <v>Macys - VT2</v>
          </cell>
          <cell r="G1547" t="str">
            <v>Macy</v>
          </cell>
          <cell r="H1547" t="str">
            <v>SG_05_01 Sun Glass Hut_Macys FS_OWNED</v>
          </cell>
          <cell r="I1547" t="str">
            <v>0000006330 Colonie Center - Macy's</v>
          </cell>
          <cell r="J1547" t="str">
            <v>Department - VT2</v>
          </cell>
          <cell r="K1547">
            <v>0</v>
          </cell>
        </row>
        <row r="1548">
          <cell r="C1548">
            <v>6331</v>
          </cell>
          <cell r="D1548" t="str">
            <v>Macy</v>
          </cell>
          <cell r="E1548" t="str">
            <v>Full Staff</v>
          </cell>
          <cell r="F1548" t="str">
            <v>Macys - VT3</v>
          </cell>
          <cell r="G1548" t="str">
            <v>Macy</v>
          </cell>
          <cell r="H1548" t="str">
            <v>SG_05_01 Sun Glass Hut_Macys FS_OWNED</v>
          </cell>
          <cell r="I1548" t="str">
            <v>0000006331 Springfield Town Center - Macy</v>
          </cell>
          <cell r="J1548" t="str">
            <v>Department - VT3</v>
          </cell>
          <cell r="K1548">
            <v>0</v>
          </cell>
        </row>
        <row r="1549">
          <cell r="C1549">
            <v>6332</v>
          </cell>
          <cell r="D1549" t="str">
            <v>Macy</v>
          </cell>
          <cell r="E1549" t="str">
            <v>Full Staff</v>
          </cell>
          <cell r="F1549" t="str">
            <v>Macys - VT3</v>
          </cell>
          <cell r="G1549" t="str">
            <v>Macy</v>
          </cell>
          <cell r="H1549" t="str">
            <v>SG_05_01 Sun Glass Hut_Macys FS_OWNED</v>
          </cell>
          <cell r="I1549" t="str">
            <v>0000006332 Ballston Commons - Macy's</v>
          </cell>
          <cell r="J1549" t="str">
            <v>Department - VT3</v>
          </cell>
          <cell r="K1549">
            <v>0</v>
          </cell>
        </row>
        <row r="1550">
          <cell r="C1550">
            <v>6339</v>
          </cell>
          <cell r="D1550" t="str">
            <v>Macy</v>
          </cell>
          <cell r="E1550" t="str">
            <v>Full Staff</v>
          </cell>
          <cell r="F1550" t="str">
            <v>Macys - VT3</v>
          </cell>
          <cell r="G1550" t="str">
            <v>Macy</v>
          </cell>
          <cell r="H1550" t="str">
            <v>SG_05_01 Sun Glass Hut_Macys FS_OWNED</v>
          </cell>
          <cell r="I1550" t="str">
            <v>0000006339 Landmark Mall - Macy's</v>
          </cell>
          <cell r="J1550" t="str">
            <v>Department - VT3</v>
          </cell>
          <cell r="K1550">
            <v>0</v>
          </cell>
        </row>
        <row r="1551">
          <cell r="C1551">
            <v>6340</v>
          </cell>
          <cell r="D1551" t="str">
            <v>Macy</v>
          </cell>
          <cell r="E1551" t="str">
            <v>Full Staff</v>
          </cell>
          <cell r="F1551" t="str">
            <v>Macys - VT3</v>
          </cell>
          <cell r="G1551" t="str">
            <v>Macy</v>
          </cell>
          <cell r="H1551" t="str">
            <v>SG_05_01 Sun Glass Hut_Macys FS_OWNED</v>
          </cell>
          <cell r="I1551" t="str">
            <v>0000006340 Brunswick Square - Macy's</v>
          </cell>
          <cell r="J1551" t="str">
            <v>Department - VT3</v>
          </cell>
          <cell r="K1551">
            <v>0</v>
          </cell>
        </row>
        <row r="1552">
          <cell r="C1552">
            <v>6341</v>
          </cell>
          <cell r="D1552" t="str">
            <v>Macy</v>
          </cell>
          <cell r="E1552" t="str">
            <v>Full Staff</v>
          </cell>
          <cell r="F1552" t="str">
            <v>Macys - VT3</v>
          </cell>
          <cell r="G1552" t="str">
            <v>Macy</v>
          </cell>
          <cell r="H1552" t="str">
            <v>SG_05_01 Sun Glass Hut_Macys FS_OWNED</v>
          </cell>
          <cell r="I1552" t="str">
            <v>0000006341 Springfield Mall - Macy's</v>
          </cell>
          <cell r="J1552" t="str">
            <v>Department - VT3</v>
          </cell>
          <cell r="K1552">
            <v>0</v>
          </cell>
        </row>
        <row r="1553">
          <cell r="C1553">
            <v>6342</v>
          </cell>
          <cell r="D1553" t="str">
            <v>Macy</v>
          </cell>
          <cell r="E1553" t="str">
            <v>Full Staff</v>
          </cell>
          <cell r="F1553" t="str">
            <v>Macys - VT2</v>
          </cell>
          <cell r="G1553" t="str">
            <v>Macy</v>
          </cell>
          <cell r="H1553" t="str">
            <v>SG_05_01 Sun Glass Hut_Macys FS_OWNED</v>
          </cell>
          <cell r="I1553" t="str">
            <v>0000006342 Court at King of Prussia - Mac</v>
          </cell>
          <cell r="J1553" t="str">
            <v>Department - VT2</v>
          </cell>
          <cell r="K1553">
            <v>0</v>
          </cell>
        </row>
        <row r="1554">
          <cell r="C1554">
            <v>6343</v>
          </cell>
          <cell r="D1554" t="str">
            <v>Macy</v>
          </cell>
          <cell r="E1554" t="str">
            <v>Full Staff</v>
          </cell>
          <cell r="F1554" t="str">
            <v>Macys - VT2</v>
          </cell>
          <cell r="G1554" t="str">
            <v>Macy</v>
          </cell>
          <cell r="H1554" t="str">
            <v>SG_05_01 Sun Glass Hut_Macys FS_OWNED</v>
          </cell>
          <cell r="I1554" t="str">
            <v>0000006343 White Marsh Mall - Macy's</v>
          </cell>
          <cell r="J1554" t="str">
            <v>Department - VT2</v>
          </cell>
          <cell r="K1554">
            <v>0</v>
          </cell>
        </row>
        <row r="1555">
          <cell r="C1555">
            <v>6351</v>
          </cell>
          <cell r="D1555" t="str">
            <v>Macy</v>
          </cell>
          <cell r="E1555" t="str">
            <v>Full Staff</v>
          </cell>
          <cell r="F1555" t="str">
            <v>Macys - VT1</v>
          </cell>
          <cell r="G1555" t="str">
            <v>Macy</v>
          </cell>
          <cell r="H1555" t="str">
            <v>SG_05_01 Sun Glass Hut_Macys FS_OWNED</v>
          </cell>
          <cell r="I1555" t="str">
            <v>0000006351 Fashion Ctr Pentagon City - Ma</v>
          </cell>
          <cell r="J1555" t="str">
            <v>Department - VT1</v>
          </cell>
          <cell r="K1555">
            <v>0</v>
          </cell>
        </row>
        <row r="1556">
          <cell r="C1556">
            <v>6352</v>
          </cell>
          <cell r="D1556" t="str">
            <v>Macy</v>
          </cell>
          <cell r="E1556" t="str">
            <v>Full Staff</v>
          </cell>
          <cell r="F1556" t="str">
            <v>Macys - VT3</v>
          </cell>
          <cell r="G1556" t="str">
            <v>Macy</v>
          </cell>
          <cell r="H1556" t="str">
            <v>SG_05_01 Sun Glass Hut_Macys FS_OWNED</v>
          </cell>
          <cell r="I1556" t="str">
            <v>0000006352 Auburn Mall - Macy's</v>
          </cell>
          <cell r="J1556" t="str">
            <v>Department - VT3</v>
          </cell>
          <cell r="K1556">
            <v>0</v>
          </cell>
        </row>
        <row r="1557">
          <cell r="C1557">
            <v>6369</v>
          </cell>
          <cell r="D1557" t="str">
            <v>Macy</v>
          </cell>
          <cell r="E1557" t="str">
            <v>Full Staff</v>
          </cell>
          <cell r="F1557" t="str">
            <v>Macys - VT3</v>
          </cell>
          <cell r="G1557" t="str">
            <v>Macy</v>
          </cell>
          <cell r="H1557" t="str">
            <v>SG_05_01 Sun Glass Hut_Macys FS_OWNED</v>
          </cell>
          <cell r="I1557" t="str">
            <v>0000006369 Dulles Town Center - Macy's</v>
          </cell>
          <cell r="J1557" t="str">
            <v>Department - VT3</v>
          </cell>
          <cell r="K1557">
            <v>0</v>
          </cell>
        </row>
        <row r="1558">
          <cell r="C1558">
            <v>6373</v>
          </cell>
          <cell r="D1558" t="str">
            <v>Macy</v>
          </cell>
          <cell r="E1558" t="str">
            <v>Full Staff</v>
          </cell>
          <cell r="F1558" t="str">
            <v>Macys - VT2</v>
          </cell>
          <cell r="G1558" t="str">
            <v>Macy</v>
          </cell>
          <cell r="H1558" t="str">
            <v>SG_05_01 Sun Glass Hut_Macys FS_OWNED</v>
          </cell>
          <cell r="I1558" t="str">
            <v>0000006373 Walt Whitman Shops - Macy's</v>
          </cell>
          <cell r="J1558" t="str">
            <v>Department - VT2</v>
          </cell>
          <cell r="K1558">
            <v>0</v>
          </cell>
        </row>
        <row r="1559">
          <cell r="C1559">
            <v>6383</v>
          </cell>
          <cell r="D1559" t="str">
            <v>Macy</v>
          </cell>
          <cell r="E1559" t="str">
            <v>Full Staff</v>
          </cell>
          <cell r="F1559" t="str">
            <v>Macys - VT3</v>
          </cell>
          <cell r="G1559" t="str">
            <v>Macy</v>
          </cell>
          <cell r="H1559" t="str">
            <v>SG_05_01 Sun Glass Hut_Macys FS_OWNED</v>
          </cell>
          <cell r="I1559" t="str">
            <v>0000006383 Meriden - Macy's</v>
          </cell>
          <cell r="J1559" t="str">
            <v>Department - VT3</v>
          </cell>
          <cell r="K1559">
            <v>0</v>
          </cell>
        </row>
        <row r="1560">
          <cell r="C1560">
            <v>6388</v>
          </cell>
          <cell r="D1560" t="str">
            <v>Macy</v>
          </cell>
          <cell r="E1560" t="str">
            <v>Full Staff</v>
          </cell>
          <cell r="F1560" t="str">
            <v>Macys - VT3</v>
          </cell>
          <cell r="G1560" t="str">
            <v>Macy</v>
          </cell>
          <cell r="H1560" t="str">
            <v>SG_05_01 Sun Glass Hut_Macys FS_OWNED</v>
          </cell>
          <cell r="I1560" t="str">
            <v>0000006388 Lakeforest Mall - Macy's</v>
          </cell>
          <cell r="J1560" t="str">
            <v>Department - VT3</v>
          </cell>
          <cell r="K1560">
            <v>0</v>
          </cell>
        </row>
        <row r="1561">
          <cell r="C1561">
            <v>6391</v>
          </cell>
          <cell r="D1561" t="str">
            <v>Macy</v>
          </cell>
          <cell r="E1561" t="str">
            <v>Full Staff</v>
          </cell>
          <cell r="F1561" t="str">
            <v>Macys - VT3</v>
          </cell>
          <cell r="G1561" t="str">
            <v>Macy</v>
          </cell>
          <cell r="H1561" t="str">
            <v>SG_05_01 Sun Glass Hut_Macys FS_OWNED</v>
          </cell>
          <cell r="I1561" t="str">
            <v>0000006391 Emerald Square - Macy's</v>
          </cell>
          <cell r="J1561" t="str">
            <v>Department - VT3</v>
          </cell>
          <cell r="K1561">
            <v>0</v>
          </cell>
        </row>
        <row r="1562">
          <cell r="C1562">
            <v>6395</v>
          </cell>
          <cell r="D1562" t="str">
            <v>Macy</v>
          </cell>
          <cell r="E1562" t="str">
            <v>Full Staff</v>
          </cell>
          <cell r="F1562" t="str">
            <v>Macys - VT3</v>
          </cell>
          <cell r="G1562" t="str">
            <v>Macy</v>
          </cell>
          <cell r="H1562" t="str">
            <v>SG_05_01 Sun Glass Hut_Macys FS_OWNED</v>
          </cell>
          <cell r="I1562" t="str">
            <v>0000006395 Shoppes at Buckland Hills - Ma</v>
          </cell>
          <cell r="J1562" t="str">
            <v>Department - VT3</v>
          </cell>
          <cell r="K1562">
            <v>0</v>
          </cell>
        </row>
        <row r="1563">
          <cell r="C1563">
            <v>6401</v>
          </cell>
          <cell r="D1563" t="str">
            <v>Macy</v>
          </cell>
          <cell r="E1563" t="str">
            <v>Full Staff</v>
          </cell>
          <cell r="F1563" t="str">
            <v>Macys - VT2</v>
          </cell>
          <cell r="G1563" t="str">
            <v>Macy</v>
          </cell>
          <cell r="H1563" t="str">
            <v>SG_05_01 Sun Glass Hut_Macys FS_OWNED</v>
          </cell>
          <cell r="I1563" t="str">
            <v>0000006401 Connecticut Post Mall - Macy's</v>
          </cell>
          <cell r="J1563" t="str">
            <v>Department - VT2</v>
          </cell>
          <cell r="K1563">
            <v>0</v>
          </cell>
        </row>
        <row r="1564">
          <cell r="C1564">
            <v>6413</v>
          </cell>
          <cell r="D1564" t="str">
            <v>Macy</v>
          </cell>
          <cell r="E1564" t="str">
            <v>Full Staff</v>
          </cell>
          <cell r="F1564" t="str">
            <v>Macys - VT3</v>
          </cell>
          <cell r="G1564" t="str">
            <v>Macy</v>
          </cell>
          <cell r="H1564" t="str">
            <v>SG_05_01 Sun Glass Hut_Macys FS_OWNED</v>
          </cell>
          <cell r="I1564" t="str">
            <v>0000006413 Bowie Town Center - Macy's</v>
          </cell>
          <cell r="J1564" t="str">
            <v>Department - VT3</v>
          </cell>
          <cell r="K1564">
            <v>0</v>
          </cell>
        </row>
        <row r="1565">
          <cell r="C1565">
            <v>6419</v>
          </cell>
          <cell r="D1565" t="str">
            <v>Macy</v>
          </cell>
          <cell r="E1565" t="str">
            <v>Full Staff</v>
          </cell>
          <cell r="F1565" t="str">
            <v>Macys - VT3</v>
          </cell>
          <cell r="G1565" t="str">
            <v>Macy</v>
          </cell>
          <cell r="H1565" t="str">
            <v>SG_05_01 Sun Glass Hut_Macys FS_OWNED</v>
          </cell>
          <cell r="I1565" t="str">
            <v>0000006419 Eastview Mall - Macy's</v>
          </cell>
          <cell r="J1565" t="str">
            <v>Department - VT3</v>
          </cell>
          <cell r="K1565">
            <v>0</v>
          </cell>
        </row>
        <row r="1566">
          <cell r="C1566">
            <v>6447</v>
          </cell>
          <cell r="D1566" t="str">
            <v>Macy</v>
          </cell>
          <cell r="E1566" t="str">
            <v>Full Staff</v>
          </cell>
          <cell r="F1566" t="str">
            <v>Macys - VT3</v>
          </cell>
          <cell r="G1566" t="str">
            <v>Macy</v>
          </cell>
          <cell r="H1566" t="str">
            <v>SG_05_01 Sun Glass Hut_Macys FS_OWNED</v>
          </cell>
          <cell r="I1566" t="str">
            <v>0000006447 Boulevard Mall - Macy's</v>
          </cell>
          <cell r="J1566" t="str">
            <v>Department - VT3</v>
          </cell>
          <cell r="K1566">
            <v>0</v>
          </cell>
        </row>
        <row r="1567">
          <cell r="C1567">
            <v>6452</v>
          </cell>
          <cell r="D1567" t="str">
            <v>Macy</v>
          </cell>
          <cell r="E1567" t="str">
            <v>Full Staff</v>
          </cell>
          <cell r="F1567" t="str">
            <v>Macys - VT3</v>
          </cell>
          <cell r="G1567" t="str">
            <v>Macy</v>
          </cell>
          <cell r="H1567" t="str">
            <v>SG_05_01 Sun Glass Hut_Macys FS_OWNED</v>
          </cell>
          <cell r="I1567" t="str">
            <v>0000006452 Walden Galleria - Macy's</v>
          </cell>
          <cell r="J1567" t="str">
            <v>Department - VT3</v>
          </cell>
          <cell r="K1567">
            <v>0</v>
          </cell>
        </row>
        <row r="1568">
          <cell r="C1568">
            <v>6457</v>
          </cell>
          <cell r="D1568" t="str">
            <v>Macy</v>
          </cell>
          <cell r="E1568" t="str">
            <v>Full Staff</v>
          </cell>
          <cell r="F1568" t="str">
            <v>Macys - VT3</v>
          </cell>
          <cell r="G1568" t="str">
            <v>Macy</v>
          </cell>
          <cell r="H1568" t="str">
            <v>SG_05_01 Sun Glass Hut_Macys FS_OWNED</v>
          </cell>
          <cell r="I1568" t="str">
            <v>0000006457 Destiny USA - Macy's</v>
          </cell>
          <cell r="J1568" t="str">
            <v>Department - VT3</v>
          </cell>
          <cell r="K1568">
            <v>0</v>
          </cell>
        </row>
        <row r="1569">
          <cell r="C1569">
            <v>6473</v>
          </cell>
          <cell r="D1569" t="str">
            <v>Macy</v>
          </cell>
          <cell r="E1569" t="str">
            <v>Full Staff</v>
          </cell>
          <cell r="F1569" t="str">
            <v>Macys - VT3</v>
          </cell>
          <cell r="G1569" t="str">
            <v>Macy</v>
          </cell>
          <cell r="H1569" t="str">
            <v>SG_05_01 Sun Glass Hut_Macys FS_OWNED</v>
          </cell>
          <cell r="I1569" t="str">
            <v>0000006473 Moorestown Mall - Macy's</v>
          </cell>
          <cell r="J1569" t="str">
            <v>Department - VT3</v>
          </cell>
          <cell r="K1569">
            <v>0</v>
          </cell>
        </row>
        <row r="1570">
          <cell r="C1570">
            <v>6475</v>
          </cell>
          <cell r="D1570" t="str">
            <v>Macy</v>
          </cell>
          <cell r="E1570" t="str">
            <v>Full Staff</v>
          </cell>
          <cell r="F1570" t="str">
            <v>Macys - VT2</v>
          </cell>
          <cell r="G1570" t="str">
            <v>Macy</v>
          </cell>
          <cell r="H1570" t="str">
            <v>SG_05_01 Sun Glass Hut_Macys FS_OWNED</v>
          </cell>
          <cell r="I1570" t="str">
            <v>0000006475 Roosevelt Mall - Macy's</v>
          </cell>
          <cell r="J1570" t="str">
            <v>Department - VT2</v>
          </cell>
          <cell r="K1570">
            <v>0</v>
          </cell>
        </row>
        <row r="1571">
          <cell r="C1571">
            <v>6492</v>
          </cell>
          <cell r="D1571" t="str">
            <v>Macy</v>
          </cell>
          <cell r="E1571" t="str">
            <v>Full Staff</v>
          </cell>
          <cell r="F1571" t="str">
            <v>Macys - VT2</v>
          </cell>
          <cell r="G1571" t="str">
            <v>Macy</v>
          </cell>
          <cell r="H1571" t="str">
            <v>SG_05_01 Sun Glass Hut_Macys FS_OWNED</v>
          </cell>
          <cell r="I1571" t="str">
            <v>0000006492 Concord Mall - Macy's</v>
          </cell>
          <cell r="J1571" t="str">
            <v>Department - VT2</v>
          </cell>
          <cell r="K1571">
            <v>0</v>
          </cell>
        </row>
        <row r="1572">
          <cell r="C1572">
            <v>6500</v>
          </cell>
          <cell r="D1572" t="str">
            <v>Macy</v>
          </cell>
          <cell r="E1572" t="str">
            <v>Full Staff</v>
          </cell>
          <cell r="F1572" t="str">
            <v>Macys - VT3</v>
          </cell>
          <cell r="G1572" t="str">
            <v>Macy</v>
          </cell>
          <cell r="H1572" t="str">
            <v>SG_05_01 Sun Glass Hut_Macys FS_OWNED</v>
          </cell>
          <cell r="I1572" t="str">
            <v>0000006500 Broadway Mall - Macy's</v>
          </cell>
          <cell r="J1572" t="str">
            <v>Department - VT3</v>
          </cell>
          <cell r="K1572">
            <v>0</v>
          </cell>
        </row>
        <row r="1573">
          <cell r="C1573">
            <v>7234</v>
          </cell>
          <cell r="D1573" t="str">
            <v>Macy</v>
          </cell>
          <cell r="E1573" t="str">
            <v>Full Staff</v>
          </cell>
          <cell r="F1573" t="str">
            <v>Macys - VT3</v>
          </cell>
          <cell r="G1573" t="str">
            <v>Macy</v>
          </cell>
          <cell r="H1573" t="str">
            <v>SG_05_01 Sun Glass Hut_Macys FS_OWNED</v>
          </cell>
          <cell r="I1573" t="str">
            <v>0000007234 Douglaston - Macy's</v>
          </cell>
          <cell r="J1573" t="str">
            <v>Department - VT3</v>
          </cell>
          <cell r="K1573">
            <v>0</v>
          </cell>
        </row>
        <row r="1574">
          <cell r="C1574">
            <v>7236</v>
          </cell>
          <cell r="D1574" t="str">
            <v>Macy</v>
          </cell>
          <cell r="E1574" t="str">
            <v>Full Staff</v>
          </cell>
          <cell r="F1574" t="str">
            <v>Macys - VT3</v>
          </cell>
          <cell r="G1574" t="str">
            <v>Macy</v>
          </cell>
          <cell r="H1574" t="str">
            <v>SG_05_01 Sun Glass Hut_Macys FS_OWNED</v>
          </cell>
          <cell r="I1574" t="str">
            <v>0000007236 Commack Corners - Macy's</v>
          </cell>
          <cell r="J1574" t="str">
            <v>Department - VT3</v>
          </cell>
          <cell r="K1574">
            <v>0</v>
          </cell>
        </row>
        <row r="1575">
          <cell r="C1575">
            <v>7238</v>
          </cell>
          <cell r="D1575" t="str">
            <v>Macy</v>
          </cell>
          <cell r="E1575" t="str">
            <v>Full Staff</v>
          </cell>
          <cell r="F1575" t="str">
            <v>Macys - VT1</v>
          </cell>
          <cell r="G1575" t="str">
            <v>Macy</v>
          </cell>
          <cell r="H1575" t="str">
            <v>SG_05_01 Sun Glass Hut_Macys FS_OWNED</v>
          </cell>
          <cell r="I1575" t="str">
            <v>0000007238 Cross County Shopping Ctr - Ma</v>
          </cell>
          <cell r="J1575" t="str">
            <v>Department - VT1</v>
          </cell>
          <cell r="K1575">
            <v>0</v>
          </cell>
        </row>
        <row r="1576">
          <cell r="C1576">
            <v>7239</v>
          </cell>
          <cell r="D1576" t="str">
            <v>Macy</v>
          </cell>
          <cell r="E1576" t="str">
            <v>Full Staff</v>
          </cell>
          <cell r="F1576" t="str">
            <v>Macys - VT1</v>
          </cell>
          <cell r="G1576" t="str">
            <v>Macy</v>
          </cell>
          <cell r="H1576" t="str">
            <v>SG_05_01 Sun Glass Hut_Macys FS_OWNED</v>
          </cell>
          <cell r="I1576" t="str">
            <v>0000007239 Newport Centre - Macy's</v>
          </cell>
          <cell r="J1576" t="str">
            <v>Department - VT1</v>
          </cell>
          <cell r="K1576">
            <v>0</v>
          </cell>
        </row>
        <row r="1577">
          <cell r="C1577">
            <v>7242</v>
          </cell>
          <cell r="D1577" t="str">
            <v>Macy</v>
          </cell>
          <cell r="E1577" t="str">
            <v>Full Staff</v>
          </cell>
          <cell r="F1577" t="str">
            <v>Macys - VT3</v>
          </cell>
          <cell r="G1577" t="str">
            <v>Macy</v>
          </cell>
          <cell r="H1577" t="str">
            <v>SG_05_01 Sun Glass Hut_Macys FS_OWNED</v>
          </cell>
          <cell r="I1577" t="str">
            <v>0000007242 Holyoke Mall - Macy's</v>
          </cell>
          <cell r="J1577" t="str">
            <v>Department - VT3</v>
          </cell>
          <cell r="K1577">
            <v>0</v>
          </cell>
        </row>
        <row r="1578">
          <cell r="C1578">
            <v>7245</v>
          </cell>
          <cell r="D1578" t="str">
            <v>Macy</v>
          </cell>
          <cell r="E1578" t="str">
            <v>Full Staff</v>
          </cell>
          <cell r="F1578" t="str">
            <v>Macys - VT3</v>
          </cell>
          <cell r="G1578" t="str">
            <v>Macy</v>
          </cell>
          <cell r="H1578" t="str">
            <v>SG_05_01 Sun Glass Hut_Macys FS_OWNED</v>
          </cell>
          <cell r="I1578" t="str">
            <v>0000007245 Solomon Pond Mall - Macy's</v>
          </cell>
          <cell r="J1578" t="str">
            <v>Department - VT3</v>
          </cell>
          <cell r="K1578">
            <v>0</v>
          </cell>
        </row>
        <row r="1579">
          <cell r="C1579">
            <v>7249</v>
          </cell>
          <cell r="D1579" t="str">
            <v>Macy</v>
          </cell>
          <cell r="E1579" t="str">
            <v>Full Staff</v>
          </cell>
          <cell r="F1579" t="str">
            <v>Macys - VT1</v>
          </cell>
          <cell r="G1579" t="str">
            <v>Macy</v>
          </cell>
          <cell r="H1579" t="str">
            <v>SG_05_01 Sun Glass Hut_Macys FS_OWNED</v>
          </cell>
          <cell r="I1579" t="str">
            <v>0000007249 Flushing - Macy's</v>
          </cell>
          <cell r="J1579" t="str">
            <v>Department - VT1</v>
          </cell>
          <cell r="K1579">
            <v>0</v>
          </cell>
        </row>
        <row r="1580">
          <cell r="C1580">
            <v>7250</v>
          </cell>
          <cell r="D1580" t="str">
            <v>Macy</v>
          </cell>
          <cell r="E1580" t="str">
            <v>Full Staff</v>
          </cell>
          <cell r="F1580" t="str">
            <v>Macys - VT3</v>
          </cell>
          <cell r="G1580" t="str">
            <v>Macy</v>
          </cell>
          <cell r="H1580" t="str">
            <v>SG_05_01 Sun Glass Hut_Macys FS_OWNED</v>
          </cell>
          <cell r="I1580" t="str">
            <v>0000007250 CambridgeSide Galleria - Macy'</v>
          </cell>
          <cell r="J1580" t="str">
            <v>Department - VT3</v>
          </cell>
          <cell r="K1580">
            <v>0</v>
          </cell>
        </row>
        <row r="1581">
          <cell r="C1581">
            <v>7256</v>
          </cell>
          <cell r="D1581" t="str">
            <v>Macy</v>
          </cell>
          <cell r="E1581" t="str">
            <v>Full Staff</v>
          </cell>
          <cell r="F1581" t="str">
            <v>Macys - VT3</v>
          </cell>
          <cell r="G1581" t="str">
            <v>Macy</v>
          </cell>
          <cell r="H1581" t="str">
            <v>SG_05_01 Sun Glass Hut_Macys FS_OWNED</v>
          </cell>
          <cell r="I1581" t="str">
            <v>0000007256 Galleria at Crystal Run - Macy</v>
          </cell>
          <cell r="J1581" t="str">
            <v>Department - VT3</v>
          </cell>
          <cell r="K1581">
            <v>0</v>
          </cell>
        </row>
        <row r="1582">
          <cell r="C1582">
            <v>7260</v>
          </cell>
          <cell r="D1582" t="str">
            <v>Macy</v>
          </cell>
          <cell r="E1582" t="str">
            <v>Full Staff</v>
          </cell>
          <cell r="F1582" t="str">
            <v>Macys - VT3</v>
          </cell>
          <cell r="G1582" t="str">
            <v>Macy</v>
          </cell>
          <cell r="H1582" t="str">
            <v>SG_05_01 Sun Glass Hut_Macys FS_OWNED</v>
          </cell>
          <cell r="I1582" t="str">
            <v>0000007260 Poughkeepsie Galleria - Macy's</v>
          </cell>
          <cell r="J1582" t="str">
            <v>Department - VT3</v>
          </cell>
          <cell r="K1582">
            <v>0</v>
          </cell>
        </row>
        <row r="1583">
          <cell r="C1583">
            <v>7264</v>
          </cell>
          <cell r="D1583" t="str">
            <v>Macy</v>
          </cell>
          <cell r="E1583" t="str">
            <v>Full Staff</v>
          </cell>
          <cell r="F1583" t="str">
            <v>Macys - VT2</v>
          </cell>
          <cell r="G1583" t="str">
            <v>Macy</v>
          </cell>
          <cell r="H1583" t="str">
            <v>SG_05_01 Sun Glass Hut_Macys FS_OWNED</v>
          </cell>
          <cell r="I1583" t="str">
            <v>0000007264 Palisades Center - Macy's</v>
          </cell>
          <cell r="J1583" t="str">
            <v>Department - VT2</v>
          </cell>
          <cell r="K1583">
            <v>0</v>
          </cell>
        </row>
        <row r="1584">
          <cell r="C1584">
            <v>7265</v>
          </cell>
          <cell r="D1584" t="str">
            <v>Macy</v>
          </cell>
          <cell r="E1584" t="str">
            <v>Full Staff</v>
          </cell>
          <cell r="F1584" t="str">
            <v>Macys - VT1</v>
          </cell>
          <cell r="G1584" t="str">
            <v>Macy</v>
          </cell>
          <cell r="H1584" t="str">
            <v>SG_05_01 Sun Glass Hut_Macys FS_OWNED</v>
          </cell>
          <cell r="I1584" t="str">
            <v>0000007265 Providence Place Mall - Macy's</v>
          </cell>
          <cell r="J1584" t="str">
            <v>Department - VT1</v>
          </cell>
          <cell r="K1584">
            <v>0</v>
          </cell>
        </row>
        <row r="1585">
          <cell r="C1585">
            <v>7268</v>
          </cell>
          <cell r="D1585" t="str">
            <v>Macy</v>
          </cell>
          <cell r="E1585" t="str">
            <v>Full Staff</v>
          </cell>
          <cell r="F1585" t="str">
            <v>Macys - VT1</v>
          </cell>
          <cell r="G1585" t="str">
            <v>Macy</v>
          </cell>
          <cell r="H1585" t="str">
            <v>SG_05_01 Sun Glass Hut_Macys FS_OWNED</v>
          </cell>
          <cell r="I1585" t="str">
            <v>0000007268 Center City Philadelphia - Mac</v>
          </cell>
          <cell r="J1585" t="str">
            <v>Department - VT1</v>
          </cell>
          <cell r="K1585">
            <v>0</v>
          </cell>
        </row>
        <row r="1586">
          <cell r="C1586">
            <v>7269</v>
          </cell>
          <cell r="D1586" t="str">
            <v>Macy</v>
          </cell>
          <cell r="E1586" t="str">
            <v>Full Staff</v>
          </cell>
          <cell r="F1586" t="str">
            <v>Macys - VT1</v>
          </cell>
          <cell r="G1586" t="str">
            <v>Macy</v>
          </cell>
          <cell r="H1586" t="str">
            <v>SG_05_01 Sun Glass Hut_Macys FS_OWNED</v>
          </cell>
          <cell r="I1586" t="str">
            <v>0000007269 Fair Oaks Mall - Macy's</v>
          </cell>
          <cell r="J1586" t="str">
            <v>Department - VT1</v>
          </cell>
          <cell r="K1586">
            <v>0</v>
          </cell>
        </row>
        <row r="1587">
          <cell r="C1587">
            <v>7271</v>
          </cell>
          <cell r="D1587" t="str">
            <v>Macy</v>
          </cell>
          <cell r="E1587" t="str">
            <v>Full Staff</v>
          </cell>
          <cell r="F1587" t="str">
            <v>Macys - VT2</v>
          </cell>
          <cell r="G1587" t="str">
            <v>Macy</v>
          </cell>
          <cell r="H1587" t="str">
            <v>SG_05_01 Sun Glass Hut_Macys FS_OWNED</v>
          </cell>
          <cell r="I1587" t="str">
            <v>0000007271 Square One Mall -Macy's</v>
          </cell>
          <cell r="J1587" t="str">
            <v>Department - VT2</v>
          </cell>
          <cell r="K1587">
            <v>0</v>
          </cell>
        </row>
        <row r="1588">
          <cell r="C1588">
            <v>7276</v>
          </cell>
          <cell r="D1588" t="str">
            <v>Macy</v>
          </cell>
          <cell r="E1588" t="str">
            <v>Full Staff</v>
          </cell>
          <cell r="F1588" t="str">
            <v>Macys - VT3</v>
          </cell>
          <cell r="G1588" t="str">
            <v>Macy</v>
          </cell>
          <cell r="H1588" t="str">
            <v>SG_05_01 Sun Glass Hut_Macys FS_OWNED</v>
          </cell>
          <cell r="I1588" t="str">
            <v>0000007276 Woodland Mall - Macy's</v>
          </cell>
          <cell r="J1588" t="str">
            <v>Department - VT3</v>
          </cell>
          <cell r="K1588">
            <v>0</v>
          </cell>
        </row>
        <row r="1589">
          <cell r="C1589">
            <v>7282</v>
          </cell>
          <cell r="D1589" t="str">
            <v>Macy</v>
          </cell>
          <cell r="E1589" t="str">
            <v>Full Staff</v>
          </cell>
          <cell r="F1589" t="str">
            <v>Macys - VT3</v>
          </cell>
          <cell r="G1589" t="str">
            <v>Macy</v>
          </cell>
          <cell r="H1589" t="str">
            <v>SG_05_01 Sun Glass Hut_Macys FS_OWNED</v>
          </cell>
          <cell r="I1589" t="str">
            <v>0000007282 Huntington Mall - Macy's</v>
          </cell>
          <cell r="J1589" t="str">
            <v>Department - VT3</v>
          </cell>
          <cell r="K1589">
            <v>0</v>
          </cell>
        </row>
        <row r="1590">
          <cell r="C1590">
            <v>7286</v>
          </cell>
          <cell r="D1590" t="str">
            <v>Macy</v>
          </cell>
          <cell r="E1590" t="str">
            <v>Full Staff</v>
          </cell>
          <cell r="F1590" t="str">
            <v>Macys - VT3</v>
          </cell>
          <cell r="G1590" t="str">
            <v>Macy</v>
          </cell>
          <cell r="H1590" t="str">
            <v>SG_05_01 Sun Glass Hut_Macys FS_OWNED</v>
          </cell>
          <cell r="I1590" t="str">
            <v>0000007286 SouthPark Mall - Macy's</v>
          </cell>
          <cell r="J1590" t="str">
            <v>Department - VT3</v>
          </cell>
          <cell r="K1590">
            <v>0</v>
          </cell>
        </row>
        <row r="1591">
          <cell r="C1591">
            <v>7287</v>
          </cell>
          <cell r="D1591" t="str">
            <v>Macy</v>
          </cell>
          <cell r="E1591" t="str">
            <v>Full Staff</v>
          </cell>
          <cell r="F1591" t="str">
            <v>Macys - VT3</v>
          </cell>
          <cell r="G1591" t="str">
            <v>Macy</v>
          </cell>
          <cell r="H1591" t="str">
            <v>SG_05_01 Sun Glass Hut_Macys FS_OWNED</v>
          </cell>
          <cell r="I1591" t="str">
            <v>0000007287 Belden Village Mall - Macy's</v>
          </cell>
          <cell r="J1591" t="str">
            <v>Department - VT3</v>
          </cell>
          <cell r="K1591">
            <v>0</v>
          </cell>
        </row>
        <row r="1592">
          <cell r="C1592">
            <v>7304</v>
          </cell>
          <cell r="D1592" t="str">
            <v>Macy</v>
          </cell>
          <cell r="E1592" t="str">
            <v>Full Staff</v>
          </cell>
          <cell r="F1592" t="str">
            <v>Macys - VT3</v>
          </cell>
          <cell r="G1592" t="str">
            <v>Macy</v>
          </cell>
          <cell r="H1592" t="str">
            <v>SG_05_01 Sun Glass Hut_Macys FS_OWNED</v>
          </cell>
          <cell r="I1592" t="str">
            <v>0000007304 Greenwood Park Mall - Macy's</v>
          </cell>
          <cell r="J1592" t="str">
            <v>Department - VT3</v>
          </cell>
          <cell r="K1592">
            <v>0</v>
          </cell>
        </row>
        <row r="1593">
          <cell r="C1593">
            <v>7310</v>
          </cell>
          <cell r="D1593" t="str">
            <v>Macy</v>
          </cell>
          <cell r="E1593" t="str">
            <v>Full Staff</v>
          </cell>
          <cell r="F1593" t="str">
            <v>Macys - VT3</v>
          </cell>
          <cell r="G1593" t="str">
            <v>Macy</v>
          </cell>
          <cell r="H1593" t="str">
            <v>SG_05_01 Sun Glass Hut_Macys FS_OWNED</v>
          </cell>
          <cell r="I1593" t="str">
            <v>0000007310 Independence Center - Macy's</v>
          </cell>
          <cell r="J1593" t="str">
            <v>Department - VT3</v>
          </cell>
          <cell r="K1593">
            <v>0</v>
          </cell>
        </row>
        <row r="1594">
          <cell r="C1594">
            <v>2513</v>
          </cell>
          <cell r="D1594" t="str">
            <v>Macy</v>
          </cell>
          <cell r="E1594" t="str">
            <v>Partial Staff</v>
          </cell>
          <cell r="F1594" t="str">
            <v>Macys - Partial S</v>
          </cell>
          <cell r="G1594" t="str">
            <v>Macy</v>
          </cell>
          <cell r="H1594" t="str">
            <v>SG_06_01 Sun Glass Hut_Macys PS_OWNED</v>
          </cell>
          <cell r="I1594" t="str">
            <v>0000002513 Apache Mall - Macy's</v>
          </cell>
          <cell r="J1594" t="str">
            <v>Department - PS</v>
          </cell>
          <cell r="K1594">
            <v>0</v>
          </cell>
        </row>
        <row r="1595">
          <cell r="C1595">
            <v>2520</v>
          </cell>
          <cell r="D1595" t="str">
            <v>Macy</v>
          </cell>
          <cell r="E1595" t="str">
            <v>Partial Staff</v>
          </cell>
          <cell r="F1595" t="str">
            <v>Macys - Partial S</v>
          </cell>
          <cell r="G1595" t="str">
            <v>Macy</v>
          </cell>
          <cell r="H1595" t="str">
            <v>SG_06_01 Sun Glass Hut_Macys PS_OWNED</v>
          </cell>
          <cell r="I1595" t="str">
            <v>0000002520 Maplewood Mall - Macy's</v>
          </cell>
          <cell r="J1595" t="str">
            <v>Department - PS</v>
          </cell>
          <cell r="K1595">
            <v>0</v>
          </cell>
        </row>
        <row r="1596">
          <cell r="C1596">
            <v>2565</v>
          </cell>
          <cell r="D1596" t="str">
            <v>Macy</v>
          </cell>
          <cell r="E1596" t="str">
            <v>Partial Staff</v>
          </cell>
          <cell r="F1596" t="str">
            <v>Macys - Partial S</v>
          </cell>
          <cell r="G1596" t="str">
            <v>Macy</v>
          </cell>
          <cell r="H1596" t="str">
            <v>SG_06_01 Sun Glass Hut_Macys PS_OWNED</v>
          </cell>
          <cell r="I1596" t="str">
            <v>0000002565 City Creek Center - Macy's</v>
          </cell>
          <cell r="J1596" t="str">
            <v>Department - PS</v>
          </cell>
          <cell r="K1596">
            <v>0</v>
          </cell>
        </row>
        <row r="1597">
          <cell r="C1597">
            <v>2808</v>
          </cell>
          <cell r="D1597" t="str">
            <v>Macy</v>
          </cell>
          <cell r="E1597" t="str">
            <v>Partial Staff</v>
          </cell>
          <cell r="F1597" t="str">
            <v>Macys - Partial S</v>
          </cell>
          <cell r="G1597" t="str">
            <v>Macy</v>
          </cell>
          <cell r="H1597" t="str">
            <v>SG_06_01 Sun Glass Hut_Macys PS_OWNED</v>
          </cell>
          <cell r="I1597" t="str">
            <v>0000002808 Altamonte Mall - Macy's</v>
          </cell>
          <cell r="J1597" t="str">
            <v>Department - PS</v>
          </cell>
          <cell r="K1597">
            <v>0</v>
          </cell>
        </row>
        <row r="1598">
          <cell r="C1598">
            <v>2811</v>
          </cell>
          <cell r="D1598" t="str">
            <v>Macy</v>
          </cell>
          <cell r="E1598" t="str">
            <v>Partial Staff</v>
          </cell>
          <cell r="F1598" t="str">
            <v>Macys - Partial S</v>
          </cell>
          <cell r="G1598" t="str">
            <v>Macy</v>
          </cell>
          <cell r="H1598" t="str">
            <v>SG_06_01 Sun Glass Hut_Macys PS_OWNED</v>
          </cell>
          <cell r="I1598" t="str">
            <v>0000002811 Southgate Mall - Macy's</v>
          </cell>
          <cell r="J1598" t="str">
            <v>Department - PS</v>
          </cell>
          <cell r="K1598">
            <v>0</v>
          </cell>
        </row>
        <row r="1599">
          <cell r="C1599">
            <v>2817</v>
          </cell>
          <cell r="D1599" t="str">
            <v>Macy</v>
          </cell>
          <cell r="E1599" t="str">
            <v>Partial Staff</v>
          </cell>
          <cell r="F1599" t="str">
            <v>Macys - Partial S</v>
          </cell>
          <cell r="G1599" t="str">
            <v>Macy</v>
          </cell>
          <cell r="H1599" t="str">
            <v>SG_06_01 Sun Glass Hut_Macys PS_OWNED</v>
          </cell>
          <cell r="I1599" t="str">
            <v>0000002817 Volusia Mall - Macy's</v>
          </cell>
          <cell r="J1599" t="str">
            <v>Department - PS</v>
          </cell>
          <cell r="K1599">
            <v>0</v>
          </cell>
        </row>
        <row r="1600">
          <cell r="C1600">
            <v>2819</v>
          </cell>
          <cell r="D1600" t="str">
            <v>Macy</v>
          </cell>
          <cell r="E1600" t="str">
            <v>Partial Staff</v>
          </cell>
          <cell r="F1600" t="str">
            <v>Macys - Partial S</v>
          </cell>
          <cell r="G1600" t="str">
            <v>Macy</v>
          </cell>
          <cell r="H1600" t="str">
            <v>SG_06_01 Sun Glass Hut_Macys PS_OWNED</v>
          </cell>
          <cell r="I1600" t="str">
            <v>0000002819 Melbourne Square - Macy's</v>
          </cell>
          <cell r="J1600" t="str">
            <v>Department - PS</v>
          </cell>
          <cell r="K1600">
            <v>0</v>
          </cell>
        </row>
        <row r="1601">
          <cell r="C1601">
            <v>2821</v>
          </cell>
          <cell r="D1601" t="str">
            <v>Macy</v>
          </cell>
          <cell r="E1601" t="str">
            <v>Partial Staff</v>
          </cell>
          <cell r="F1601" t="str">
            <v>Macys - Partial S</v>
          </cell>
          <cell r="G1601" t="str">
            <v>Macy</v>
          </cell>
          <cell r="H1601" t="str">
            <v>SG_06_01 Sun Glass Hut_Macys PS_OWNED</v>
          </cell>
          <cell r="I1601" t="str">
            <v>0000002821 The Oaks Mall - Macy's</v>
          </cell>
          <cell r="J1601" t="str">
            <v>Department - PS</v>
          </cell>
          <cell r="K1601">
            <v>0</v>
          </cell>
        </row>
        <row r="1602">
          <cell r="C1602">
            <v>2826</v>
          </cell>
          <cell r="D1602" t="str">
            <v>Macy</v>
          </cell>
          <cell r="E1602" t="str">
            <v>Partial Staff</v>
          </cell>
          <cell r="F1602" t="str">
            <v>Macys - Partial S</v>
          </cell>
          <cell r="G1602" t="str">
            <v>Macy</v>
          </cell>
          <cell r="H1602" t="str">
            <v>SG_06_01 Sun Glass Hut_Macys PS_OWNED</v>
          </cell>
          <cell r="I1602" t="str">
            <v>0000002826 Port Charlotte Town Center - M</v>
          </cell>
          <cell r="J1602" t="str">
            <v>Department - PS</v>
          </cell>
          <cell r="K1602">
            <v>0</v>
          </cell>
        </row>
        <row r="1603">
          <cell r="C1603">
            <v>2827</v>
          </cell>
          <cell r="D1603" t="str">
            <v>Macy</v>
          </cell>
          <cell r="E1603" t="str">
            <v>Partial Staff</v>
          </cell>
          <cell r="F1603" t="str">
            <v>Macys - Partial S</v>
          </cell>
          <cell r="G1603" t="str">
            <v>Macy</v>
          </cell>
          <cell r="H1603" t="str">
            <v>SG_06_01 Sun Glass Hut_Macys PS_OWNED</v>
          </cell>
          <cell r="I1603" t="str">
            <v>0000002827 Brandon Town Center - Macy's</v>
          </cell>
          <cell r="J1603" t="str">
            <v>Department - PS</v>
          </cell>
          <cell r="K1603">
            <v>0</v>
          </cell>
        </row>
        <row r="1604">
          <cell r="C1604">
            <v>2831</v>
          </cell>
          <cell r="D1604" t="str">
            <v>Macy</v>
          </cell>
          <cell r="E1604" t="str">
            <v>Partial Staff</v>
          </cell>
          <cell r="F1604" t="str">
            <v>Macys - Partial S</v>
          </cell>
          <cell r="G1604" t="str">
            <v>Macy</v>
          </cell>
          <cell r="H1604" t="str">
            <v>SG_06_01 Sun Glass Hut_Macys PS_OWNED</v>
          </cell>
          <cell r="I1604" t="str">
            <v>0000002831 Sarasota Square - Macy's</v>
          </cell>
          <cell r="J1604" t="str">
            <v>Department - PS</v>
          </cell>
          <cell r="K1604">
            <v>0</v>
          </cell>
        </row>
        <row r="1605">
          <cell r="C1605">
            <v>2832</v>
          </cell>
          <cell r="D1605" t="str">
            <v>Macy</v>
          </cell>
          <cell r="E1605" t="str">
            <v>Partial Staff</v>
          </cell>
          <cell r="F1605" t="str">
            <v>Macys - Partial S</v>
          </cell>
          <cell r="G1605" t="str">
            <v>Macy</v>
          </cell>
          <cell r="H1605" t="str">
            <v>SG_06_01 Sun Glass Hut_Macys PS_OWNED</v>
          </cell>
          <cell r="I1605" t="str">
            <v>0000002832 University Mall - Macy's</v>
          </cell>
          <cell r="J1605" t="str">
            <v>Department - PS</v>
          </cell>
          <cell r="K1605">
            <v>0</v>
          </cell>
        </row>
        <row r="1606">
          <cell r="C1606">
            <v>2833</v>
          </cell>
          <cell r="D1606" t="str">
            <v>Macy</v>
          </cell>
          <cell r="E1606" t="str">
            <v>Partial Staff</v>
          </cell>
          <cell r="F1606" t="str">
            <v>Macys - Partial S</v>
          </cell>
          <cell r="G1606" t="str">
            <v>Macy</v>
          </cell>
          <cell r="H1606" t="str">
            <v>SG_06_01 Sun Glass Hut_Macys PS_OWNED</v>
          </cell>
          <cell r="I1606" t="str">
            <v>0000002833 Desoto Square - Macy's</v>
          </cell>
          <cell r="J1606" t="str">
            <v>Department - PS</v>
          </cell>
          <cell r="K1606">
            <v>0</v>
          </cell>
        </row>
        <row r="1607">
          <cell r="C1607">
            <v>2840</v>
          </cell>
          <cell r="D1607" t="str">
            <v>Macy</v>
          </cell>
          <cell r="E1607" t="str">
            <v>Partial Staff</v>
          </cell>
          <cell r="F1607" t="str">
            <v>Macys - Partial S</v>
          </cell>
          <cell r="G1607" t="str">
            <v>Macy</v>
          </cell>
          <cell r="H1607" t="str">
            <v>SG_06_01 Sun Glass Hut_Macys PS_OWNED</v>
          </cell>
          <cell r="I1607" t="str">
            <v>0000002840 Treasure Coast Square - Macy's</v>
          </cell>
          <cell r="J1607" t="str">
            <v>Department - PS</v>
          </cell>
          <cell r="K1607">
            <v>0</v>
          </cell>
        </row>
        <row r="1608">
          <cell r="C1608">
            <v>2841</v>
          </cell>
          <cell r="D1608" t="str">
            <v>Macy</v>
          </cell>
          <cell r="E1608" t="str">
            <v>Partial Staff</v>
          </cell>
          <cell r="F1608" t="str">
            <v>Macys - Partial S</v>
          </cell>
          <cell r="G1608" t="str">
            <v>Macy</v>
          </cell>
          <cell r="H1608" t="str">
            <v>SG_06_01 Sun Glass Hut_Macys PS_OWNED</v>
          </cell>
          <cell r="I1608" t="str">
            <v>0000002841 Merritt Square Mall - Macy's</v>
          </cell>
          <cell r="J1608" t="str">
            <v>Department - PS</v>
          </cell>
          <cell r="K1608">
            <v>0</v>
          </cell>
        </row>
        <row r="1609">
          <cell r="C1609">
            <v>2842</v>
          </cell>
          <cell r="D1609" t="str">
            <v>Macy</v>
          </cell>
          <cell r="E1609" t="str">
            <v>Partial Staff</v>
          </cell>
          <cell r="F1609" t="str">
            <v>Macys - Partial S</v>
          </cell>
          <cell r="G1609" t="str">
            <v>Macy</v>
          </cell>
          <cell r="H1609" t="str">
            <v>SG_06_01 Sun Glass Hut_Macys PS_OWNED</v>
          </cell>
          <cell r="I1609" t="str">
            <v>0000002842 Southland Mall - Macy's</v>
          </cell>
          <cell r="J1609" t="str">
            <v>Department - PS</v>
          </cell>
          <cell r="K1609">
            <v>0</v>
          </cell>
        </row>
        <row r="1610">
          <cell r="C1610">
            <v>3084</v>
          </cell>
          <cell r="D1610" t="str">
            <v>Macy</v>
          </cell>
          <cell r="E1610" t="str">
            <v>Partial Staff</v>
          </cell>
          <cell r="F1610" t="str">
            <v>Macys - Partial S</v>
          </cell>
          <cell r="G1610" t="str">
            <v>Macy</v>
          </cell>
          <cell r="H1610" t="str">
            <v>SG_06_01 Sun Glass Hut_Macys PS_OWNED</v>
          </cell>
          <cell r="I1610" t="str">
            <v>0000003084 Genesee Valley Center - Macy's</v>
          </cell>
          <cell r="J1610" t="str">
            <v>Department - PS</v>
          </cell>
          <cell r="K1610">
            <v>0</v>
          </cell>
        </row>
        <row r="1611">
          <cell r="C1611">
            <v>3086</v>
          </cell>
          <cell r="D1611" t="str">
            <v>Macy</v>
          </cell>
          <cell r="E1611" t="str">
            <v>Partial Staff</v>
          </cell>
          <cell r="F1611" t="str">
            <v>Macys - Partial S</v>
          </cell>
          <cell r="G1611" t="str">
            <v>Macy</v>
          </cell>
          <cell r="H1611" t="str">
            <v>SG_06_01 Sun Glass Hut_Macys PS_OWNED</v>
          </cell>
          <cell r="I1611" t="str">
            <v>0000003086 The Crossroads Mall - Macy's</v>
          </cell>
          <cell r="J1611" t="str">
            <v>Department - PS</v>
          </cell>
          <cell r="K1611">
            <v>0</v>
          </cell>
        </row>
        <row r="1612">
          <cell r="C1612">
            <v>3088</v>
          </cell>
          <cell r="D1612" t="str">
            <v>Macy</v>
          </cell>
          <cell r="E1612" t="str">
            <v>Partial Staff</v>
          </cell>
          <cell r="F1612" t="str">
            <v>Macys - Partial S</v>
          </cell>
          <cell r="G1612" t="str">
            <v>Macy</v>
          </cell>
          <cell r="H1612" t="str">
            <v>SG_06_01 Sun Glass Hut_Macys PS_OWNED</v>
          </cell>
          <cell r="I1612" t="str">
            <v>0000003088 Meridian Mall - Macy's</v>
          </cell>
          <cell r="J1612" t="str">
            <v>Department - PS</v>
          </cell>
          <cell r="K1612">
            <v>0</v>
          </cell>
        </row>
        <row r="1613">
          <cell r="C1613">
            <v>3089</v>
          </cell>
          <cell r="D1613" t="str">
            <v>Macy</v>
          </cell>
          <cell r="E1613" t="str">
            <v>Partial Staff</v>
          </cell>
          <cell r="F1613" t="str">
            <v>Macys - Partial S</v>
          </cell>
          <cell r="G1613" t="str">
            <v>Macy</v>
          </cell>
          <cell r="H1613" t="str">
            <v>SG_06_01 Sun Glass Hut_Macys PS_OWNED</v>
          </cell>
          <cell r="I1613" t="str">
            <v>0000003089 Northland Center - Macy's</v>
          </cell>
          <cell r="J1613" t="str">
            <v>Department - PS</v>
          </cell>
          <cell r="K1613">
            <v>0</v>
          </cell>
        </row>
        <row r="1614">
          <cell r="C1614">
            <v>3092</v>
          </cell>
          <cell r="D1614" t="str">
            <v>Macy</v>
          </cell>
          <cell r="E1614" t="str">
            <v>Partial Staff</v>
          </cell>
          <cell r="F1614" t="str">
            <v>Macys - Partial S</v>
          </cell>
          <cell r="G1614" t="str">
            <v>Macy</v>
          </cell>
          <cell r="H1614" t="str">
            <v>SG_06_01 Sun Glass Hut_Macys PS_OWNED</v>
          </cell>
          <cell r="I1614" t="str">
            <v>0000003092 Fashion Square - Macy's</v>
          </cell>
          <cell r="J1614" t="str">
            <v>Department - PS</v>
          </cell>
          <cell r="K1614">
            <v>0</v>
          </cell>
        </row>
        <row r="1615">
          <cell r="C1615">
            <v>3112</v>
          </cell>
          <cell r="D1615" t="str">
            <v>Macy</v>
          </cell>
          <cell r="E1615" t="str">
            <v>Partial Staff</v>
          </cell>
          <cell r="F1615" t="str">
            <v>Macys - Partial S</v>
          </cell>
          <cell r="G1615" t="str">
            <v>Macy</v>
          </cell>
          <cell r="H1615" t="str">
            <v>SG_06_01 Sun Glass Hut_Macys PS_OWNED</v>
          </cell>
          <cell r="I1615" t="str">
            <v>0000003112 River Oaks Center - Macy's</v>
          </cell>
          <cell r="J1615" t="str">
            <v>Department - PS</v>
          </cell>
          <cell r="K1615">
            <v>0</v>
          </cell>
        </row>
        <row r="1616">
          <cell r="C1616">
            <v>3120</v>
          </cell>
          <cell r="D1616" t="str">
            <v>Macy</v>
          </cell>
          <cell r="E1616" t="str">
            <v>Partial Staff</v>
          </cell>
          <cell r="F1616" t="str">
            <v>Macys - Partial S</v>
          </cell>
          <cell r="G1616" t="str">
            <v>Macy</v>
          </cell>
          <cell r="H1616" t="str">
            <v>SG_06_01 Sun Glass Hut_Macys PS_OWNED</v>
          </cell>
          <cell r="I1616" t="str">
            <v>0000003120 Stratford Square Mall - Macy's</v>
          </cell>
          <cell r="J1616" t="str">
            <v>Department - PS</v>
          </cell>
          <cell r="K1616">
            <v>0</v>
          </cell>
        </row>
        <row r="1617">
          <cell r="C1617">
            <v>3124</v>
          </cell>
          <cell r="D1617" t="str">
            <v>Macy</v>
          </cell>
          <cell r="E1617" t="str">
            <v>Partial Staff</v>
          </cell>
          <cell r="F1617" t="str">
            <v>Macys - Partial S</v>
          </cell>
          <cell r="G1617" t="str">
            <v>Macy</v>
          </cell>
          <cell r="H1617" t="str">
            <v>SG_06_01 Sun Glass Hut_Macys PS_OWNED</v>
          </cell>
          <cell r="I1617" t="str">
            <v>0000003124 Franklin Park Mall - Macy's</v>
          </cell>
          <cell r="J1617" t="str">
            <v>Department - PS</v>
          </cell>
          <cell r="K1617">
            <v>0</v>
          </cell>
        </row>
        <row r="1618">
          <cell r="C1618">
            <v>3766</v>
          </cell>
          <cell r="D1618" t="str">
            <v>Macy</v>
          </cell>
          <cell r="E1618" t="str">
            <v>Partial Staff</v>
          </cell>
          <cell r="F1618" t="str">
            <v>Macys - Partial S</v>
          </cell>
          <cell r="G1618" t="str">
            <v>Macy</v>
          </cell>
          <cell r="H1618" t="str">
            <v>SG_06_01 Sun Glass Hut_Macys PS_OWNED</v>
          </cell>
          <cell r="I1618" t="str">
            <v>0000003766 Mall Of Victor Valley - Macy's</v>
          </cell>
          <cell r="J1618" t="str">
            <v>Department - PS</v>
          </cell>
          <cell r="K1618">
            <v>0</v>
          </cell>
        </row>
        <row r="1619">
          <cell r="C1619">
            <v>5161</v>
          </cell>
          <cell r="D1619" t="str">
            <v>Macy</v>
          </cell>
          <cell r="E1619" t="str">
            <v>Partial Staff</v>
          </cell>
          <cell r="F1619" t="str">
            <v>Macys - Partial S</v>
          </cell>
          <cell r="G1619" t="str">
            <v>Macy</v>
          </cell>
          <cell r="H1619" t="str">
            <v>SG_06_01 Sun Glass Hut_Macys PS_OWNED</v>
          </cell>
          <cell r="I1619" t="str">
            <v>0000005161 The Empire Mall - Macy's</v>
          </cell>
          <cell r="J1619" t="str">
            <v>Department - PS</v>
          </cell>
          <cell r="K1619">
            <v>0</v>
          </cell>
        </row>
        <row r="1620">
          <cell r="C1620">
            <v>5162</v>
          </cell>
          <cell r="D1620" t="str">
            <v>Macy</v>
          </cell>
          <cell r="E1620" t="str">
            <v>Partial Staff</v>
          </cell>
          <cell r="F1620" t="str">
            <v>Macys - Partial S</v>
          </cell>
          <cell r="G1620" t="str">
            <v>Macy</v>
          </cell>
          <cell r="H1620" t="str">
            <v>SG_06_01 Sun Glass Hut_Macys PS_OWNED</v>
          </cell>
          <cell r="I1620" t="str">
            <v>0000005162 West Acres Mall - Macy's</v>
          </cell>
          <cell r="J1620" t="str">
            <v>Department - PS</v>
          </cell>
          <cell r="K1620">
            <v>0</v>
          </cell>
        </row>
        <row r="1621">
          <cell r="C1621">
            <v>5275</v>
          </cell>
          <cell r="D1621" t="str">
            <v>Macy</v>
          </cell>
          <cell r="E1621" t="str">
            <v>Partial Staff</v>
          </cell>
          <cell r="F1621" t="str">
            <v>Macys - Partial S</v>
          </cell>
          <cell r="G1621" t="str">
            <v>Macy</v>
          </cell>
          <cell r="H1621" t="str">
            <v>SG_06_01 Sun Glass Hut_Macys PS_OWNED</v>
          </cell>
          <cell r="I1621" t="str">
            <v>0000005275 Fountain Square - Macy's</v>
          </cell>
          <cell r="J1621" t="str">
            <v>Department - PS</v>
          </cell>
          <cell r="K1621">
            <v>0</v>
          </cell>
        </row>
        <row r="1622">
          <cell r="C1622">
            <v>5322</v>
          </cell>
          <cell r="D1622" t="str">
            <v>Macy</v>
          </cell>
          <cell r="E1622" t="str">
            <v>Partial Staff</v>
          </cell>
          <cell r="F1622" t="str">
            <v>Macys - Partial S</v>
          </cell>
          <cell r="G1622" t="str">
            <v>Macy</v>
          </cell>
          <cell r="H1622" t="str">
            <v>SG_06_01 Sun Glass Hut_Macys PS_OWNED</v>
          </cell>
          <cell r="I1622" t="str">
            <v>0000005322 Southlake Mall - Macy's</v>
          </cell>
          <cell r="J1622" t="str">
            <v>Department - PS</v>
          </cell>
          <cell r="K1622">
            <v>0</v>
          </cell>
        </row>
        <row r="1623">
          <cell r="C1623">
            <v>5405</v>
          </cell>
          <cell r="D1623" t="str">
            <v>Macy</v>
          </cell>
          <cell r="E1623" t="str">
            <v>Partial Staff</v>
          </cell>
          <cell r="F1623" t="str">
            <v>Macys - Partial S</v>
          </cell>
          <cell r="G1623" t="str">
            <v>Macy</v>
          </cell>
          <cell r="H1623" t="str">
            <v>SG_06_01 Sun Glass Hut_Macys PS_OWNED</v>
          </cell>
          <cell r="I1623" t="str">
            <v>0000005405 Georgia Square - Macy's</v>
          </cell>
          <cell r="J1623" t="str">
            <v>Department - PS</v>
          </cell>
          <cell r="K1623">
            <v>0</v>
          </cell>
        </row>
        <row r="1624">
          <cell r="C1624">
            <v>5411</v>
          </cell>
          <cell r="D1624" t="str">
            <v>Macy</v>
          </cell>
          <cell r="E1624" t="str">
            <v>Partial Staff</v>
          </cell>
          <cell r="F1624" t="str">
            <v>Macys - Partial S</v>
          </cell>
          <cell r="G1624" t="str">
            <v>Macy</v>
          </cell>
          <cell r="H1624" t="str">
            <v>SG_06_01 Sun Glass Hut_Macys PS_OWNED</v>
          </cell>
          <cell r="I1624" t="str">
            <v>0000005411 Arbor Place - Macy's</v>
          </cell>
          <cell r="J1624" t="str">
            <v>Department - PS</v>
          </cell>
          <cell r="K1624">
            <v>0</v>
          </cell>
        </row>
        <row r="1625">
          <cell r="C1625">
            <v>5412</v>
          </cell>
          <cell r="D1625" t="str">
            <v>Macy</v>
          </cell>
          <cell r="E1625" t="str">
            <v>Partial Staff</v>
          </cell>
          <cell r="F1625" t="str">
            <v>Macys - Partial S</v>
          </cell>
          <cell r="G1625" t="str">
            <v>Macy</v>
          </cell>
          <cell r="H1625" t="str">
            <v>SG_06_01 Sun Glass Hut_Macys PS_OWNED</v>
          </cell>
          <cell r="I1625" t="str">
            <v>0000005412 Northlake Mall - Macy's</v>
          </cell>
          <cell r="J1625" t="str">
            <v>Department - PS</v>
          </cell>
          <cell r="K1625">
            <v>0</v>
          </cell>
        </row>
        <row r="1626">
          <cell r="C1626">
            <v>5417</v>
          </cell>
          <cell r="D1626" t="str">
            <v>Macy</v>
          </cell>
          <cell r="E1626" t="str">
            <v>Partial Staff</v>
          </cell>
          <cell r="F1626" t="str">
            <v>Macys - Partial S</v>
          </cell>
          <cell r="G1626" t="str">
            <v>Macy</v>
          </cell>
          <cell r="H1626" t="str">
            <v>SG_06_01 Sun Glass Hut_Macys PS_OWNED</v>
          </cell>
          <cell r="I1626" t="str">
            <v>0000005417 Peachtree Mall - Macy's</v>
          </cell>
          <cell r="J1626" t="str">
            <v>Department - PS</v>
          </cell>
          <cell r="K1626">
            <v>0</v>
          </cell>
        </row>
        <row r="1627">
          <cell r="C1627">
            <v>5419</v>
          </cell>
          <cell r="D1627" t="str">
            <v>Macy</v>
          </cell>
          <cell r="E1627" t="str">
            <v>Partial Staff</v>
          </cell>
          <cell r="F1627" t="str">
            <v>Macys - Partial S</v>
          </cell>
          <cell r="G1627" t="str">
            <v>Macy</v>
          </cell>
          <cell r="H1627" t="str">
            <v>SG_06_01 Sun Glass Hut_Macys PS_OWNED</v>
          </cell>
          <cell r="I1627" t="str">
            <v>0000005419 Parkdale Mall - Macy's</v>
          </cell>
          <cell r="J1627" t="str">
            <v>Department - PS</v>
          </cell>
          <cell r="K1627">
            <v>0</v>
          </cell>
        </row>
        <row r="1628">
          <cell r="C1628">
            <v>5427</v>
          </cell>
          <cell r="D1628" t="str">
            <v>Macy</v>
          </cell>
          <cell r="E1628" t="str">
            <v>Partial Staff</v>
          </cell>
          <cell r="F1628" t="str">
            <v>Macys - Partial S</v>
          </cell>
          <cell r="G1628" t="str">
            <v>Macy</v>
          </cell>
          <cell r="H1628" t="str">
            <v>SG_06_01 Sun Glass Hut_Macys PS_OWNED</v>
          </cell>
          <cell r="I1628" t="str">
            <v>0000005427 Pasadena Town Square - Macy's</v>
          </cell>
          <cell r="J1628" t="str">
            <v>Department - PS</v>
          </cell>
          <cell r="K1628">
            <v>0</v>
          </cell>
        </row>
        <row r="1629">
          <cell r="C1629">
            <v>5445</v>
          </cell>
          <cell r="D1629" t="str">
            <v>Macy</v>
          </cell>
          <cell r="E1629" t="str">
            <v>Partial Staff</v>
          </cell>
          <cell r="F1629" t="str">
            <v>Macys - Partial S</v>
          </cell>
          <cell r="G1629" t="str">
            <v>Macy</v>
          </cell>
          <cell r="H1629" t="str">
            <v>SG_06_01 Sun Glass Hut_Macys PS_OWNED</v>
          </cell>
          <cell r="I1629" t="str">
            <v>0000005445 Northlake Mall - Macy's</v>
          </cell>
          <cell r="J1629" t="str">
            <v>Department - PS</v>
          </cell>
          <cell r="K1629">
            <v>0</v>
          </cell>
        </row>
        <row r="1630">
          <cell r="C1630">
            <v>5455</v>
          </cell>
          <cell r="D1630" t="str">
            <v>Macy</v>
          </cell>
          <cell r="E1630" t="str">
            <v>Partial Staff</v>
          </cell>
          <cell r="F1630" t="str">
            <v>Macys - Partial S</v>
          </cell>
          <cell r="G1630" t="str">
            <v>Macy</v>
          </cell>
          <cell r="H1630" t="str">
            <v>SG_06_01 Sun Glass Hut_Macys PS_OWNED</v>
          </cell>
          <cell r="I1630" t="str">
            <v>0000005455 Firewheel Town Center - Macy's</v>
          </cell>
          <cell r="J1630" t="str">
            <v>Department - PS</v>
          </cell>
          <cell r="K1630">
            <v>0</v>
          </cell>
        </row>
        <row r="1631">
          <cell r="C1631">
            <v>5459</v>
          </cell>
          <cell r="D1631" t="str">
            <v>Macy</v>
          </cell>
          <cell r="E1631" t="str">
            <v>Partial Staff</v>
          </cell>
          <cell r="F1631" t="str">
            <v>Macys - Partial S</v>
          </cell>
          <cell r="G1631" t="str">
            <v>Macy</v>
          </cell>
          <cell r="H1631" t="str">
            <v>SG_06_01 Sun Glass Hut_Macys PS_OWNED</v>
          </cell>
          <cell r="I1631" t="str">
            <v>0000005459 Chesterfield Towne Center - Ma</v>
          </cell>
          <cell r="J1631" t="str">
            <v>Department - PS</v>
          </cell>
          <cell r="K1631">
            <v>0</v>
          </cell>
        </row>
        <row r="1632">
          <cell r="C1632">
            <v>5460</v>
          </cell>
          <cell r="D1632" t="str">
            <v>Macy</v>
          </cell>
          <cell r="E1632" t="str">
            <v>Partial Staff</v>
          </cell>
          <cell r="F1632" t="str">
            <v>Macys - Partial S</v>
          </cell>
          <cell r="G1632" t="str">
            <v>Macy</v>
          </cell>
          <cell r="H1632" t="str">
            <v>SG_06_01 Sun Glass Hut_Macys PS_OWNED</v>
          </cell>
          <cell r="I1632" t="str">
            <v>0000005460 Oglethorpe Mall - Macy's</v>
          </cell>
          <cell r="J1632" t="str">
            <v>Department - PS</v>
          </cell>
          <cell r="K1632">
            <v>0</v>
          </cell>
        </row>
        <row r="1633">
          <cell r="C1633">
            <v>5471</v>
          </cell>
          <cell r="D1633" t="str">
            <v>Macy</v>
          </cell>
          <cell r="E1633" t="str">
            <v>Partial Staff</v>
          </cell>
          <cell r="F1633" t="str">
            <v>Macys - Partial S</v>
          </cell>
          <cell r="G1633" t="str">
            <v>Macy</v>
          </cell>
          <cell r="H1633" t="str">
            <v>SG_06_01 Sun Glass Hut_Macys PS_OWNED</v>
          </cell>
          <cell r="I1633" t="str">
            <v>0000005471 Rolling Oaks Mall - Macy's</v>
          </cell>
          <cell r="J1633" t="str">
            <v>Department - PS</v>
          </cell>
          <cell r="K1633">
            <v>0</v>
          </cell>
        </row>
        <row r="1634">
          <cell r="C1634">
            <v>5474</v>
          </cell>
          <cell r="D1634" t="str">
            <v>Macy</v>
          </cell>
          <cell r="E1634" t="str">
            <v>Partial Staff</v>
          </cell>
          <cell r="F1634" t="str">
            <v>Macys - Partial S</v>
          </cell>
          <cell r="G1634" t="str">
            <v>Macy</v>
          </cell>
          <cell r="H1634" t="str">
            <v>SG_06_01 Sun Glass Hut_Macys PS_OWNED</v>
          </cell>
          <cell r="I1634" t="str">
            <v>0000005474 Greenbrier Mall - Macy's</v>
          </cell>
          <cell r="J1634" t="str">
            <v>Department - PS</v>
          </cell>
          <cell r="K1634">
            <v>0</v>
          </cell>
        </row>
        <row r="1635">
          <cell r="C1635">
            <v>5477</v>
          </cell>
          <cell r="D1635" t="str">
            <v>Macy</v>
          </cell>
          <cell r="E1635" t="str">
            <v>Partial Staff</v>
          </cell>
          <cell r="F1635" t="str">
            <v>Macys - Partial S</v>
          </cell>
          <cell r="G1635" t="str">
            <v>Macy</v>
          </cell>
          <cell r="H1635" t="str">
            <v>SG_06_01 Sun Glass Hut_Macys PS_OWNED</v>
          </cell>
          <cell r="I1635" t="str">
            <v>0000005477 Crabtree Valley Mall - Macy's</v>
          </cell>
          <cell r="J1635" t="str">
            <v>Department - PS</v>
          </cell>
          <cell r="K1635">
            <v>0</v>
          </cell>
        </row>
        <row r="1636">
          <cell r="C1636">
            <v>5478</v>
          </cell>
          <cell r="D1636" t="str">
            <v>Macy</v>
          </cell>
          <cell r="E1636" t="str">
            <v>Partial Staff</v>
          </cell>
          <cell r="F1636" t="str">
            <v>Macys - Partial S</v>
          </cell>
          <cell r="G1636" t="str">
            <v>Macy</v>
          </cell>
          <cell r="H1636" t="str">
            <v>SG_06_01 Sun Glass Hut_Macys PS_OWNED</v>
          </cell>
          <cell r="I1636" t="str">
            <v>0000005478 Penn Square Mall - Macy's</v>
          </cell>
          <cell r="J1636" t="str">
            <v>Department - PS</v>
          </cell>
          <cell r="K1636">
            <v>0</v>
          </cell>
        </row>
        <row r="1637">
          <cell r="C1637">
            <v>5479</v>
          </cell>
          <cell r="D1637" t="str">
            <v>Macy</v>
          </cell>
          <cell r="E1637" t="str">
            <v>Partial Staff</v>
          </cell>
          <cell r="F1637" t="str">
            <v>Macys - Partial S</v>
          </cell>
          <cell r="G1637" t="str">
            <v>Macy</v>
          </cell>
          <cell r="H1637" t="str">
            <v>SG_06_01 Sun Glass Hut_Macys PS_OWNED</v>
          </cell>
          <cell r="I1637" t="str">
            <v>0000005479 Woodland Hills Mall - Macy's</v>
          </cell>
          <cell r="J1637" t="str">
            <v>Department - PS</v>
          </cell>
          <cell r="K1637">
            <v>0</v>
          </cell>
        </row>
        <row r="1638">
          <cell r="C1638">
            <v>5480</v>
          </cell>
          <cell r="D1638" t="str">
            <v>Macy</v>
          </cell>
          <cell r="E1638" t="str">
            <v>Partial Staff</v>
          </cell>
          <cell r="F1638" t="str">
            <v>Macys - Partial S</v>
          </cell>
          <cell r="G1638" t="str">
            <v>Macy</v>
          </cell>
          <cell r="H1638" t="str">
            <v>SG_06_01 Sun Glass Hut_Macys PS_OWNED</v>
          </cell>
          <cell r="I1638" t="str">
            <v>0000005480 Columbia Place - Macy's</v>
          </cell>
          <cell r="J1638" t="str">
            <v>Department - PS</v>
          </cell>
          <cell r="K1638">
            <v>0</v>
          </cell>
        </row>
        <row r="1639">
          <cell r="C1639">
            <v>5482</v>
          </cell>
          <cell r="D1639" t="str">
            <v>Macy</v>
          </cell>
          <cell r="E1639" t="str">
            <v>Partial Staff</v>
          </cell>
          <cell r="F1639" t="str">
            <v>Macys - Partial S</v>
          </cell>
          <cell r="G1639" t="str">
            <v>Macy</v>
          </cell>
          <cell r="H1639" t="str">
            <v>SG_06_01 Sun Glass Hut_Macys PS_OWNED</v>
          </cell>
          <cell r="I1639" t="str">
            <v>0000005482 RiverGate Mall - Macy's</v>
          </cell>
          <cell r="J1639" t="str">
            <v>Department - PS</v>
          </cell>
          <cell r="K1639">
            <v>0</v>
          </cell>
        </row>
        <row r="1640">
          <cell r="C1640">
            <v>5483</v>
          </cell>
          <cell r="D1640" t="str">
            <v>Macy</v>
          </cell>
          <cell r="E1640" t="str">
            <v>Partial Staff</v>
          </cell>
          <cell r="F1640" t="str">
            <v>Macys - Partial S</v>
          </cell>
          <cell r="G1640" t="str">
            <v>Macy</v>
          </cell>
          <cell r="H1640" t="str">
            <v>SG_06_01 Sun Glass Hut_Macys PS_OWNED</v>
          </cell>
          <cell r="I1640" t="str">
            <v>0000005483 The Shops at Willow Bend - Mac</v>
          </cell>
          <cell r="J1640" t="str">
            <v>Department - PS</v>
          </cell>
          <cell r="K1640">
            <v>0</v>
          </cell>
        </row>
        <row r="1641">
          <cell r="C1641">
            <v>5484</v>
          </cell>
          <cell r="D1641" t="str">
            <v>Macy</v>
          </cell>
          <cell r="E1641" t="str">
            <v>Partial Staff</v>
          </cell>
          <cell r="F1641" t="str">
            <v>Macys - Partial S</v>
          </cell>
          <cell r="G1641" t="str">
            <v>Macy</v>
          </cell>
          <cell r="H1641" t="str">
            <v>SG_06_01 Sun Glass Hut_Macys PS_OWNED</v>
          </cell>
          <cell r="I1641" t="str">
            <v>0000005484 Valley View Mall - Macy's</v>
          </cell>
          <cell r="J1641" t="str">
            <v>Department - PS</v>
          </cell>
          <cell r="K1641">
            <v>0</v>
          </cell>
        </row>
        <row r="1642">
          <cell r="C1642">
            <v>5486</v>
          </cell>
          <cell r="D1642" t="str">
            <v>Macy</v>
          </cell>
          <cell r="E1642" t="str">
            <v>Partial Staff</v>
          </cell>
          <cell r="F1642" t="str">
            <v>Macys - Partial S</v>
          </cell>
          <cell r="G1642" t="str">
            <v>Macy</v>
          </cell>
          <cell r="H1642" t="str">
            <v>SG_06_01 Sun Glass Hut_Macys PS_OWNED</v>
          </cell>
          <cell r="I1642" t="str">
            <v>0000005486 The Streets at Southpoint - Ma</v>
          </cell>
          <cell r="J1642" t="str">
            <v>Department - PS</v>
          </cell>
          <cell r="K1642">
            <v>0</v>
          </cell>
        </row>
        <row r="1643">
          <cell r="C1643">
            <v>5488</v>
          </cell>
          <cell r="D1643" t="str">
            <v>Macy</v>
          </cell>
          <cell r="E1643" t="str">
            <v>Partial Staff</v>
          </cell>
          <cell r="F1643" t="str">
            <v>Macys - Partial S</v>
          </cell>
          <cell r="G1643" t="str">
            <v>Macy</v>
          </cell>
          <cell r="H1643" t="str">
            <v>SG_06_01 Sun Glass Hut_Macys PS_OWNED</v>
          </cell>
          <cell r="I1643" t="str">
            <v>0000005488 Mall of Acadiana - Macy's</v>
          </cell>
          <cell r="J1643" t="str">
            <v>Department - PS</v>
          </cell>
          <cell r="K1643">
            <v>0</v>
          </cell>
        </row>
        <row r="1644">
          <cell r="C1644">
            <v>5489</v>
          </cell>
          <cell r="D1644" t="str">
            <v>Macy</v>
          </cell>
          <cell r="E1644" t="str">
            <v>Partial Staff</v>
          </cell>
          <cell r="F1644" t="str">
            <v>Macys - Partial S</v>
          </cell>
          <cell r="G1644" t="str">
            <v>Macy</v>
          </cell>
          <cell r="H1644" t="str">
            <v>SG_06_01 Sun Glass Hut_Macys PS_OWNED</v>
          </cell>
          <cell r="I1644" t="str">
            <v>0000005489 Carolina Place Mall - Macy's</v>
          </cell>
          <cell r="J1644" t="str">
            <v>Department - PS</v>
          </cell>
          <cell r="K1644">
            <v>0</v>
          </cell>
        </row>
        <row r="1645">
          <cell r="C1645">
            <v>5490</v>
          </cell>
          <cell r="D1645" t="str">
            <v>Macy</v>
          </cell>
          <cell r="E1645" t="str">
            <v>Partial Staff</v>
          </cell>
          <cell r="F1645" t="str">
            <v>Macys - Partial S</v>
          </cell>
          <cell r="G1645" t="str">
            <v>Macy</v>
          </cell>
          <cell r="H1645" t="str">
            <v>SG_06_01 Sun Glass Hut_Macys PS_OWNED</v>
          </cell>
          <cell r="I1645" t="str">
            <v>0000005490 SouthPark - Macy's</v>
          </cell>
          <cell r="J1645" t="str">
            <v>Department - PS</v>
          </cell>
          <cell r="K1645">
            <v>0</v>
          </cell>
        </row>
        <row r="1646">
          <cell r="C1646">
            <v>5494</v>
          </cell>
          <cell r="D1646" t="str">
            <v>Macy</v>
          </cell>
          <cell r="E1646" t="str">
            <v>Partial Staff</v>
          </cell>
          <cell r="F1646" t="str">
            <v>Macys - Partial S</v>
          </cell>
          <cell r="G1646" t="str">
            <v>Macy</v>
          </cell>
          <cell r="H1646" t="str">
            <v>SG_06_01 Sun Glass Hut_Macys PS_OWNED</v>
          </cell>
          <cell r="I1646" t="str">
            <v>0000005494 Northgate Mall - Macy's</v>
          </cell>
          <cell r="J1646" t="str">
            <v>Department - PS</v>
          </cell>
          <cell r="K1646">
            <v>0</v>
          </cell>
        </row>
        <row r="1647">
          <cell r="C1647">
            <v>5497</v>
          </cell>
          <cell r="D1647" t="str">
            <v>Macy</v>
          </cell>
          <cell r="E1647" t="str">
            <v>Partial Staff</v>
          </cell>
          <cell r="F1647" t="str">
            <v>Macys - Partial S</v>
          </cell>
          <cell r="G1647" t="str">
            <v>Macy</v>
          </cell>
          <cell r="H1647" t="str">
            <v>SG_06_01 Sun Glass Hut_Macys PS_OWNED</v>
          </cell>
          <cell r="I1647" t="str">
            <v>0000005497 Irving Mall - Macy's</v>
          </cell>
          <cell r="J1647" t="str">
            <v>Department - PS</v>
          </cell>
          <cell r="K1647">
            <v>0</v>
          </cell>
        </row>
        <row r="1648">
          <cell r="C1648">
            <v>5498</v>
          </cell>
          <cell r="D1648" t="str">
            <v>Macy</v>
          </cell>
          <cell r="E1648" t="str">
            <v>Partial Staff</v>
          </cell>
          <cell r="F1648" t="str">
            <v>Macys - Partial S</v>
          </cell>
          <cell r="G1648" t="str">
            <v>Macy</v>
          </cell>
          <cell r="H1648" t="str">
            <v>SG_06_01 Sun Glass Hut_Macys PS_OWNED</v>
          </cell>
          <cell r="I1648" t="str">
            <v>0000005498 Ridgmar Mall - Macy's</v>
          </cell>
          <cell r="J1648" t="str">
            <v>Department - PS</v>
          </cell>
          <cell r="K1648">
            <v>0</v>
          </cell>
        </row>
        <row r="1649">
          <cell r="C1649">
            <v>5500</v>
          </cell>
          <cell r="D1649" t="str">
            <v>Macy</v>
          </cell>
          <cell r="E1649" t="str">
            <v>Partial Staff</v>
          </cell>
          <cell r="F1649" t="str">
            <v>Macys - Partial S</v>
          </cell>
          <cell r="G1649" t="str">
            <v>Macy</v>
          </cell>
          <cell r="H1649" t="str">
            <v>SG_06_01 Sun Glass Hut_Macys PS_OWNED</v>
          </cell>
          <cell r="I1649" t="str">
            <v>0000005500 Broadway Square - Macy's</v>
          </cell>
          <cell r="J1649" t="str">
            <v>Department - PS</v>
          </cell>
          <cell r="K1649">
            <v>0</v>
          </cell>
        </row>
        <row r="1650">
          <cell r="C1650">
            <v>5506</v>
          </cell>
          <cell r="D1650" t="str">
            <v>Macy</v>
          </cell>
          <cell r="E1650" t="str">
            <v>Partial Staff</v>
          </cell>
          <cell r="F1650" t="str">
            <v>Macys - Partial S</v>
          </cell>
          <cell r="G1650" t="str">
            <v>Macy</v>
          </cell>
          <cell r="H1650" t="str">
            <v>SG_06_01 Sun Glass Hut_Macys PS_OWNED</v>
          </cell>
          <cell r="I1650" t="str">
            <v>0000005506 Southpark Mall - Macy's</v>
          </cell>
          <cell r="J1650" t="str">
            <v>Department - PS</v>
          </cell>
          <cell r="K1650">
            <v>0</v>
          </cell>
        </row>
        <row r="1651">
          <cell r="C1651">
            <v>5507</v>
          </cell>
          <cell r="D1651" t="str">
            <v>Macy</v>
          </cell>
          <cell r="E1651" t="str">
            <v>Partial Staff</v>
          </cell>
          <cell r="F1651" t="str">
            <v>Macys - Partial S</v>
          </cell>
          <cell r="G1651" t="str">
            <v>Macy</v>
          </cell>
          <cell r="H1651" t="str">
            <v>SG_06_01 Sun Glass Hut_Macys PS_OWNED</v>
          </cell>
          <cell r="I1651" t="str">
            <v>0000005507 Greenwood Mall - Macy's</v>
          </cell>
          <cell r="J1651" t="str">
            <v>Department - PS</v>
          </cell>
          <cell r="K1651">
            <v>0</v>
          </cell>
        </row>
        <row r="1652">
          <cell r="C1652">
            <v>5511</v>
          </cell>
          <cell r="D1652" t="str">
            <v>Macy</v>
          </cell>
          <cell r="E1652" t="str">
            <v>Partial Staff</v>
          </cell>
          <cell r="F1652" t="str">
            <v>Macys - Partial S</v>
          </cell>
          <cell r="G1652" t="str">
            <v>Macy</v>
          </cell>
          <cell r="H1652" t="str">
            <v>SG_06_01 Sun Glass Hut_Macys PS_OWNED</v>
          </cell>
          <cell r="I1652" t="str">
            <v>0000005511 Wendover Place - Macy's</v>
          </cell>
          <cell r="J1652" t="str">
            <v>Department - PS</v>
          </cell>
          <cell r="K1652">
            <v>0</v>
          </cell>
        </row>
        <row r="1653">
          <cell r="C1653">
            <v>5513</v>
          </cell>
          <cell r="D1653" t="str">
            <v>Macy</v>
          </cell>
          <cell r="E1653" t="str">
            <v>Partial Staff</v>
          </cell>
          <cell r="F1653" t="str">
            <v>Macys - Partial S</v>
          </cell>
          <cell r="G1653" t="str">
            <v>Macy</v>
          </cell>
          <cell r="H1653" t="str">
            <v>SG_06_01 Sun Glass Hut_Macys PS_OWNED</v>
          </cell>
          <cell r="I1653" t="str">
            <v>0000005513 Carriage Crossing - Macy's</v>
          </cell>
          <cell r="J1653" t="str">
            <v>Department - PS</v>
          </cell>
          <cell r="K1653">
            <v>0</v>
          </cell>
        </row>
        <row r="1654">
          <cell r="C1654">
            <v>5520</v>
          </cell>
          <cell r="D1654" t="str">
            <v>Macy</v>
          </cell>
          <cell r="E1654" t="str">
            <v>Partial Staff</v>
          </cell>
          <cell r="F1654" t="str">
            <v>Macys - Partial S</v>
          </cell>
          <cell r="G1654" t="str">
            <v>Macy</v>
          </cell>
          <cell r="H1654" t="str">
            <v>SG_06_01 Sun Glass Hut_Macys PS_OWNED</v>
          </cell>
          <cell r="I1654" t="str">
            <v>0000005520 Golden Triangle Mall - Macy's</v>
          </cell>
          <cell r="J1654" t="str">
            <v>Department - PS</v>
          </cell>
          <cell r="K1654">
            <v>0</v>
          </cell>
        </row>
        <row r="1655">
          <cell r="C1655">
            <v>5521</v>
          </cell>
          <cell r="D1655" t="str">
            <v>Macy</v>
          </cell>
          <cell r="E1655" t="str">
            <v>Partial Staff</v>
          </cell>
          <cell r="F1655" t="str">
            <v>Macys - Partial S</v>
          </cell>
          <cell r="G1655" t="str">
            <v>Macy</v>
          </cell>
          <cell r="H1655" t="str">
            <v>SG_06_01 Sun Glass Hut_Macys PS_OWNED</v>
          </cell>
          <cell r="I1655" t="str">
            <v>0000005521 Rivercenter Mall - Macy's</v>
          </cell>
          <cell r="J1655" t="str">
            <v>Department - PS</v>
          </cell>
          <cell r="K1655">
            <v>0</v>
          </cell>
        </row>
        <row r="1656">
          <cell r="C1656">
            <v>5522</v>
          </cell>
          <cell r="D1656" t="str">
            <v>Macy</v>
          </cell>
          <cell r="E1656" t="str">
            <v>Partial Staff</v>
          </cell>
          <cell r="F1656" t="str">
            <v>Macys - Partial S</v>
          </cell>
          <cell r="G1656" t="str">
            <v>Macy</v>
          </cell>
          <cell r="H1656" t="str">
            <v>SG_06_01 Sun Glass Hut_Macys PS_OWNED</v>
          </cell>
          <cell r="I1656" t="str">
            <v>0000005522 Temple Mall - Macy's</v>
          </cell>
          <cell r="J1656" t="str">
            <v>Department - PS</v>
          </cell>
          <cell r="K1656">
            <v>0</v>
          </cell>
        </row>
        <row r="1657">
          <cell r="C1657">
            <v>5919</v>
          </cell>
          <cell r="D1657" t="str">
            <v>Macy</v>
          </cell>
          <cell r="E1657" t="str">
            <v>Partial Staff</v>
          </cell>
          <cell r="F1657" t="str">
            <v>Macys - Partial S</v>
          </cell>
          <cell r="G1657" t="str">
            <v>Macy</v>
          </cell>
          <cell r="H1657" t="str">
            <v>SG_06_01 Sun Glass Hut_Macys PS_OWNED</v>
          </cell>
          <cell r="I1657" t="str">
            <v>0000005919 Galleria at Sunset - Macy's</v>
          </cell>
          <cell r="J1657" t="str">
            <v>Department - PS</v>
          </cell>
          <cell r="K1657">
            <v>0</v>
          </cell>
        </row>
        <row r="1658">
          <cell r="C1658">
            <v>5931</v>
          </cell>
          <cell r="D1658" t="str">
            <v>Macy</v>
          </cell>
          <cell r="E1658" t="str">
            <v>Partial Staff</v>
          </cell>
          <cell r="F1658" t="str">
            <v>Macys - Partial S</v>
          </cell>
          <cell r="G1658" t="str">
            <v>Macy</v>
          </cell>
          <cell r="H1658" t="str">
            <v>SG_06_01 Sun Glass Hut_Macys PS_OWNED</v>
          </cell>
          <cell r="I1658" t="str">
            <v>0000005931 Paradise Valley Mall - Macy's</v>
          </cell>
          <cell r="J1658" t="str">
            <v>Department - PS</v>
          </cell>
          <cell r="K1658">
            <v>0</v>
          </cell>
        </row>
        <row r="1659">
          <cell r="C1659">
            <v>5932</v>
          </cell>
          <cell r="D1659" t="str">
            <v>Macy</v>
          </cell>
          <cell r="E1659" t="str">
            <v>Partial Staff</v>
          </cell>
          <cell r="F1659" t="str">
            <v>Macys - Partial S</v>
          </cell>
          <cell r="G1659" t="str">
            <v>Macy</v>
          </cell>
          <cell r="H1659" t="str">
            <v>SG_06_01 Sun Glass Hut_Macys PS_OWNED</v>
          </cell>
          <cell r="I1659" t="str">
            <v>0000005932 Eastridge Mall - Macy's</v>
          </cell>
          <cell r="J1659" t="str">
            <v>Department - PS</v>
          </cell>
          <cell r="K1659">
            <v>0</v>
          </cell>
        </row>
        <row r="1660">
          <cell r="C1660">
            <v>5933</v>
          </cell>
          <cell r="D1660" t="str">
            <v>Macy</v>
          </cell>
          <cell r="E1660" t="str">
            <v>Partial Staff</v>
          </cell>
          <cell r="F1660" t="str">
            <v>Macys - Partial S</v>
          </cell>
          <cell r="G1660" t="str">
            <v>Macy</v>
          </cell>
          <cell r="H1660" t="str">
            <v>SG_06_01 Sun Glass Hut_Macys PS_OWNED</v>
          </cell>
          <cell r="I1660" t="str">
            <v>0000005933 South Hill Mall - Macy's</v>
          </cell>
          <cell r="J1660" t="str">
            <v>Department - PS</v>
          </cell>
          <cell r="K1660">
            <v>0</v>
          </cell>
        </row>
        <row r="1661">
          <cell r="C1661">
            <v>5934</v>
          </cell>
          <cell r="D1661" t="str">
            <v>Macy</v>
          </cell>
          <cell r="E1661" t="str">
            <v>Partial Staff</v>
          </cell>
          <cell r="F1661" t="str">
            <v>Macys - Partial S</v>
          </cell>
          <cell r="G1661" t="str">
            <v>Macy</v>
          </cell>
          <cell r="H1661" t="str">
            <v>SG_06_01 Sun Glass Hut_Macys PS_OWNED</v>
          </cell>
          <cell r="I1661" t="str">
            <v>0000005934 Coddingtown Mall - Macy's</v>
          </cell>
          <cell r="J1661" t="str">
            <v>Department - PS</v>
          </cell>
          <cell r="K1661">
            <v>0</v>
          </cell>
        </row>
        <row r="1662">
          <cell r="C1662">
            <v>5935</v>
          </cell>
          <cell r="D1662" t="str">
            <v>Macy</v>
          </cell>
          <cell r="E1662" t="str">
            <v>Partial Staff</v>
          </cell>
          <cell r="F1662" t="str">
            <v>Macys - Partial S</v>
          </cell>
          <cell r="G1662" t="str">
            <v>Macy</v>
          </cell>
          <cell r="H1662" t="str">
            <v>SG_06_01 Sun Glass Hut_Macys PS_OWNED</v>
          </cell>
          <cell r="I1662" t="str">
            <v>0000005935 Sherwood Mall - Macy's</v>
          </cell>
          <cell r="J1662" t="str">
            <v>Department - PS</v>
          </cell>
          <cell r="K1662">
            <v>0</v>
          </cell>
        </row>
        <row r="1663">
          <cell r="C1663">
            <v>5936</v>
          </cell>
          <cell r="D1663" t="str">
            <v>Macy</v>
          </cell>
          <cell r="E1663" t="str">
            <v>Partial Staff</v>
          </cell>
          <cell r="F1663" t="str">
            <v>Macys - Partial S</v>
          </cell>
          <cell r="G1663" t="str">
            <v>Macy</v>
          </cell>
          <cell r="H1663" t="str">
            <v>SG_06_01 Sun Glass Hut_Macys PS_OWNED</v>
          </cell>
          <cell r="I1663" t="str">
            <v>0000005936 Kahala  Mall - Macy's</v>
          </cell>
          <cell r="J1663" t="str">
            <v>Department - PS</v>
          </cell>
          <cell r="K1663">
            <v>0</v>
          </cell>
        </row>
        <row r="1664">
          <cell r="C1664">
            <v>5937</v>
          </cell>
          <cell r="D1664" t="str">
            <v>Macy</v>
          </cell>
          <cell r="E1664" t="str">
            <v>Partial Staff</v>
          </cell>
          <cell r="F1664" t="str">
            <v>Macys - Partial S</v>
          </cell>
          <cell r="G1664" t="str">
            <v>Macy</v>
          </cell>
          <cell r="H1664" t="str">
            <v>SG_06_01 Sun Glass Hut_Macys PS_OWNED</v>
          </cell>
          <cell r="I1664" t="str">
            <v>0000005937 Bayfair Center - Macy's</v>
          </cell>
          <cell r="J1664" t="str">
            <v>Department - PS</v>
          </cell>
          <cell r="K1664">
            <v>0</v>
          </cell>
        </row>
        <row r="1665">
          <cell r="C1665">
            <v>5938</v>
          </cell>
          <cell r="D1665" t="str">
            <v>Macy</v>
          </cell>
          <cell r="E1665" t="str">
            <v>Partial Staff</v>
          </cell>
          <cell r="F1665" t="str">
            <v>Macys - Partial S</v>
          </cell>
          <cell r="G1665" t="str">
            <v>Macy</v>
          </cell>
          <cell r="H1665" t="str">
            <v>SG_06_01 Sun Glass Hut_Macys PS_OWNED</v>
          </cell>
          <cell r="I1665" t="str">
            <v>0000005938 Northridge Mall - Macy's</v>
          </cell>
          <cell r="J1665" t="str">
            <v>Department - PS</v>
          </cell>
          <cell r="K1665">
            <v>0</v>
          </cell>
        </row>
        <row r="1666">
          <cell r="C1666">
            <v>5939</v>
          </cell>
          <cell r="D1666" t="str">
            <v>Macy</v>
          </cell>
          <cell r="E1666" t="str">
            <v>Partial Staff</v>
          </cell>
          <cell r="F1666" t="str">
            <v>Macys - Partial S</v>
          </cell>
          <cell r="G1666" t="str">
            <v>Macy</v>
          </cell>
          <cell r="H1666" t="str">
            <v>SG_06_01 Sun Glass Hut_Macys PS_OWNED</v>
          </cell>
          <cell r="I1666" t="str">
            <v>0000005939 Inland Center - Macy's</v>
          </cell>
          <cell r="J1666" t="str">
            <v>Department - PS</v>
          </cell>
          <cell r="K1666">
            <v>0</v>
          </cell>
        </row>
        <row r="1667">
          <cell r="C1667">
            <v>5940</v>
          </cell>
          <cell r="D1667" t="str">
            <v>Macy</v>
          </cell>
          <cell r="E1667" t="str">
            <v>Partial Staff</v>
          </cell>
          <cell r="F1667" t="str">
            <v>Macys - Partial S</v>
          </cell>
          <cell r="G1667" t="str">
            <v>Macy</v>
          </cell>
          <cell r="H1667" t="str">
            <v>SG_06_01 Sun Glass Hut_Macys PS_OWNED</v>
          </cell>
          <cell r="I1667" t="str">
            <v>0000005940 Redmond Town Center - Macy's</v>
          </cell>
          <cell r="J1667" t="str">
            <v>Department - PS</v>
          </cell>
          <cell r="K1667">
            <v>0</v>
          </cell>
        </row>
        <row r="1668">
          <cell r="C1668">
            <v>5941</v>
          </cell>
          <cell r="D1668" t="str">
            <v>Macy</v>
          </cell>
          <cell r="E1668" t="str">
            <v>Partial Staff</v>
          </cell>
          <cell r="F1668" t="str">
            <v>Macys - Partial S</v>
          </cell>
          <cell r="G1668" t="str">
            <v>Macy</v>
          </cell>
          <cell r="H1668" t="str">
            <v>SG_06_01 Sun Glass Hut_Macys PS_OWNED</v>
          </cell>
          <cell r="I1668" t="str">
            <v>0000005941 Vancouver Mall - Macy's</v>
          </cell>
          <cell r="J1668" t="str">
            <v>Department - PS</v>
          </cell>
          <cell r="K1668">
            <v>0</v>
          </cell>
        </row>
        <row r="1669">
          <cell r="C1669">
            <v>5942</v>
          </cell>
          <cell r="D1669" t="str">
            <v>Macy</v>
          </cell>
          <cell r="E1669" t="str">
            <v>Partial Staff</v>
          </cell>
          <cell r="F1669" t="str">
            <v>Macys - Partial S</v>
          </cell>
          <cell r="G1669" t="str">
            <v>Macy</v>
          </cell>
          <cell r="H1669" t="str">
            <v>SG_06_01 Sun Glass Hut_Macys PS_OWNED</v>
          </cell>
          <cell r="I1669" t="str">
            <v>0000005942 Laurel Plaza Shopping Center -</v>
          </cell>
          <cell r="J1669" t="str">
            <v>Department - PS</v>
          </cell>
          <cell r="K1669">
            <v>0</v>
          </cell>
        </row>
        <row r="1670">
          <cell r="C1670">
            <v>5946</v>
          </cell>
          <cell r="D1670" t="str">
            <v>Macy</v>
          </cell>
          <cell r="E1670" t="str">
            <v>Partial Staff</v>
          </cell>
          <cell r="F1670" t="str">
            <v>Macys - Partial S</v>
          </cell>
          <cell r="G1670" t="str">
            <v>Macy</v>
          </cell>
          <cell r="H1670" t="str">
            <v>SG_06_01 Sun Glass Hut_Macys PS_OWNED</v>
          </cell>
          <cell r="I1670" t="str">
            <v>0000005946 Spokane Valley Mall - Macy's</v>
          </cell>
          <cell r="J1670" t="str">
            <v>Department - PS</v>
          </cell>
          <cell r="K1670">
            <v>0</v>
          </cell>
        </row>
        <row r="1671">
          <cell r="C1671">
            <v>5947</v>
          </cell>
          <cell r="D1671" t="str">
            <v>Macy</v>
          </cell>
          <cell r="E1671" t="str">
            <v>Partial Staff</v>
          </cell>
          <cell r="F1671" t="str">
            <v>Macys - Partial S</v>
          </cell>
          <cell r="G1671" t="str">
            <v>Macy</v>
          </cell>
          <cell r="H1671" t="str">
            <v>SG_06_01 Sun Glass Hut_Macys PS_OWNED</v>
          </cell>
          <cell r="I1671" t="str">
            <v>0000005947 La Cumbre Plaza - Macy's</v>
          </cell>
          <cell r="J1671" t="str">
            <v>Department - PS</v>
          </cell>
          <cell r="K1671">
            <v>0</v>
          </cell>
        </row>
        <row r="1672">
          <cell r="C1672">
            <v>5949</v>
          </cell>
          <cell r="D1672" t="str">
            <v>Macy</v>
          </cell>
          <cell r="E1672" t="str">
            <v>Partial Staff</v>
          </cell>
          <cell r="F1672" t="str">
            <v>Macys - Partial S</v>
          </cell>
          <cell r="G1672" t="str">
            <v>Macy</v>
          </cell>
          <cell r="H1672" t="str">
            <v>SG_06_01 Sun Glass Hut_Macys PS_OWNED</v>
          </cell>
          <cell r="I1672" t="str">
            <v>0000005949 Bend River Mall - Macy's</v>
          </cell>
          <cell r="J1672" t="str">
            <v>Department - PS</v>
          </cell>
          <cell r="K1672">
            <v>0</v>
          </cell>
        </row>
        <row r="1673">
          <cell r="C1673">
            <v>5950</v>
          </cell>
          <cell r="D1673" t="str">
            <v>Macy</v>
          </cell>
          <cell r="E1673" t="str">
            <v>Partial Staff</v>
          </cell>
          <cell r="F1673" t="str">
            <v>Macys - Partial S</v>
          </cell>
          <cell r="G1673" t="str">
            <v>Macy</v>
          </cell>
          <cell r="H1673" t="str">
            <v>SG_06_01 Sun Glass Hut_Macys PS_OWNED</v>
          </cell>
          <cell r="I1673" t="str">
            <v>0000005950 Simi Valley Town Center - Macy</v>
          </cell>
          <cell r="J1673" t="str">
            <v>Department - PS</v>
          </cell>
          <cell r="K1673">
            <v>0</v>
          </cell>
        </row>
        <row r="1674">
          <cell r="C1674">
            <v>5951</v>
          </cell>
          <cell r="D1674" t="str">
            <v>Macy</v>
          </cell>
          <cell r="E1674" t="str">
            <v>Partial Staff</v>
          </cell>
          <cell r="F1674" t="str">
            <v>Macys - Partial S</v>
          </cell>
          <cell r="G1674" t="str">
            <v>Macy</v>
          </cell>
          <cell r="H1674" t="str">
            <v>SG_06_01 Sun Glass Hut_Macys PS_OWNED</v>
          </cell>
          <cell r="I1674" t="str">
            <v>0000005951 Rogue Valley Mall - Macy's</v>
          </cell>
          <cell r="J1674" t="str">
            <v>Department - PS</v>
          </cell>
          <cell r="K1674">
            <v>0</v>
          </cell>
        </row>
        <row r="1675">
          <cell r="C1675">
            <v>5955</v>
          </cell>
          <cell r="D1675" t="str">
            <v>Macy</v>
          </cell>
          <cell r="E1675" t="str">
            <v>Partial Staff</v>
          </cell>
          <cell r="F1675" t="str">
            <v>Macys - Partial S</v>
          </cell>
          <cell r="G1675" t="str">
            <v>Macy</v>
          </cell>
          <cell r="H1675" t="str">
            <v>SG_06_01 Sun Glass Hut_Macys PS_OWNED</v>
          </cell>
          <cell r="I1675" t="str">
            <v>0000005955 Coronado Center - Macy's</v>
          </cell>
          <cell r="J1675" t="str">
            <v>Department - PS</v>
          </cell>
          <cell r="K1675">
            <v>0</v>
          </cell>
        </row>
        <row r="1676">
          <cell r="C1676">
            <v>5956</v>
          </cell>
          <cell r="D1676" t="str">
            <v>Macy</v>
          </cell>
          <cell r="E1676" t="str">
            <v>Partial Staff</v>
          </cell>
          <cell r="F1676" t="str">
            <v>Macys - Partial S</v>
          </cell>
          <cell r="G1676" t="str">
            <v>Macy</v>
          </cell>
          <cell r="H1676" t="str">
            <v>SG_06_01 Sun Glass Hut_Macys PS_OWNED</v>
          </cell>
          <cell r="I1676" t="str">
            <v>0000005956 Del Amo Fashion Center - Macy'</v>
          </cell>
          <cell r="J1676" t="str">
            <v>Department - PS</v>
          </cell>
          <cell r="K1676">
            <v>0</v>
          </cell>
        </row>
        <row r="1677">
          <cell r="C1677">
            <v>5957</v>
          </cell>
          <cell r="D1677" t="str">
            <v>Macy</v>
          </cell>
          <cell r="E1677" t="str">
            <v>Partial Staff</v>
          </cell>
          <cell r="F1677" t="str">
            <v>Macys - Partial S</v>
          </cell>
          <cell r="G1677" t="str">
            <v>Macy</v>
          </cell>
          <cell r="H1677" t="str">
            <v>SG_06_01 Sun Glass Hut_Macys PS_OWNED</v>
          </cell>
          <cell r="I1677" t="str">
            <v>0000005957 Tucson Mall - Macy's</v>
          </cell>
          <cell r="J1677" t="str">
            <v>Department - PS</v>
          </cell>
          <cell r="K1677">
            <v>0</v>
          </cell>
        </row>
        <row r="1678">
          <cell r="C1678">
            <v>5958</v>
          </cell>
          <cell r="D1678" t="str">
            <v>Macy</v>
          </cell>
          <cell r="E1678" t="str">
            <v>Partial Staff</v>
          </cell>
          <cell r="F1678" t="str">
            <v>Macys - Partial S</v>
          </cell>
          <cell r="G1678" t="str">
            <v>Macy</v>
          </cell>
          <cell r="H1678" t="str">
            <v>SG_06_01 Sun Glass Hut_Macys PS_OWNED</v>
          </cell>
          <cell r="I1678" t="str">
            <v>0000005958 Meadows Mall - Macy's</v>
          </cell>
          <cell r="J1678" t="str">
            <v>Department - PS</v>
          </cell>
          <cell r="K1678">
            <v>0</v>
          </cell>
        </row>
        <row r="1679">
          <cell r="C1679">
            <v>5959</v>
          </cell>
          <cell r="D1679" t="str">
            <v>Macy</v>
          </cell>
          <cell r="E1679" t="str">
            <v>Partial Staff</v>
          </cell>
          <cell r="F1679" t="str">
            <v>Macys - Partial S</v>
          </cell>
          <cell r="G1679" t="str">
            <v>Macy</v>
          </cell>
          <cell r="H1679" t="str">
            <v>SG_06_01 Sun Glass Hut_Macys PS_OWNED</v>
          </cell>
          <cell r="I1679" t="str">
            <v>0000005959 Prince Kuhio Plaza - Macy's</v>
          </cell>
          <cell r="J1679" t="str">
            <v>Department - PS</v>
          </cell>
          <cell r="K1679">
            <v>0</v>
          </cell>
        </row>
        <row r="1680">
          <cell r="C1680">
            <v>5961</v>
          </cell>
          <cell r="D1680" t="str">
            <v>Macy</v>
          </cell>
          <cell r="E1680" t="str">
            <v>Partial Staff</v>
          </cell>
          <cell r="F1680" t="str">
            <v>Macys - Partial S</v>
          </cell>
          <cell r="G1680" t="str">
            <v>Macy</v>
          </cell>
          <cell r="H1680" t="str">
            <v>SG_06_01 Sun Glass Hut_Macys PS_OWNED</v>
          </cell>
          <cell r="I1680" t="str">
            <v>0000005961 South Towne Center - Macy's</v>
          </cell>
          <cell r="J1680" t="str">
            <v>Department - PS</v>
          </cell>
          <cell r="K1680">
            <v>0</v>
          </cell>
        </row>
        <row r="1681">
          <cell r="C1681">
            <v>5962</v>
          </cell>
          <cell r="D1681" t="str">
            <v>Macy</v>
          </cell>
          <cell r="E1681" t="str">
            <v>Partial Staff</v>
          </cell>
          <cell r="F1681" t="str">
            <v>Macys - Partial S</v>
          </cell>
          <cell r="G1681" t="str">
            <v>Macy</v>
          </cell>
          <cell r="H1681" t="str">
            <v>SG_06_01 Sun Glass Hut_Macys PS_OWNED</v>
          </cell>
          <cell r="I1681" t="str">
            <v>0000005962 NorthTown Mall - Macy's</v>
          </cell>
          <cell r="J1681" t="str">
            <v>Department - PS</v>
          </cell>
          <cell r="K1681">
            <v>0</v>
          </cell>
        </row>
        <row r="1682">
          <cell r="C1682">
            <v>5963</v>
          </cell>
          <cell r="D1682" t="str">
            <v>Macy</v>
          </cell>
          <cell r="E1682" t="str">
            <v>Partial Staff</v>
          </cell>
          <cell r="F1682" t="str">
            <v>Macys - Partial S</v>
          </cell>
          <cell r="G1682" t="str">
            <v>Macy</v>
          </cell>
          <cell r="H1682" t="str">
            <v>SG_06_01 Sun Glass Hut_Macys PS_OWNED</v>
          </cell>
          <cell r="I1682" t="str">
            <v>0000005963 Moreno Valley Mall - Macy's</v>
          </cell>
          <cell r="J1682" t="str">
            <v>Department - PS</v>
          </cell>
          <cell r="K1682">
            <v>0</v>
          </cell>
        </row>
        <row r="1683">
          <cell r="C1683">
            <v>5964</v>
          </cell>
          <cell r="D1683" t="str">
            <v>Macy</v>
          </cell>
          <cell r="E1683" t="str">
            <v>Partial Staff</v>
          </cell>
          <cell r="F1683" t="str">
            <v>Macys - Partial S</v>
          </cell>
          <cell r="G1683" t="str">
            <v>Macy</v>
          </cell>
          <cell r="H1683" t="str">
            <v>SG_06_01 Sun Glass Hut_Macys PS_OWNED</v>
          </cell>
          <cell r="I1683" t="str">
            <v>0000005964 Kukui Grove Center - Macy's</v>
          </cell>
          <cell r="J1683" t="str">
            <v>Department - PS</v>
          </cell>
          <cell r="K1683">
            <v>0</v>
          </cell>
        </row>
        <row r="1684">
          <cell r="C1684">
            <v>5965</v>
          </cell>
          <cell r="D1684" t="str">
            <v>Macy</v>
          </cell>
          <cell r="E1684" t="str">
            <v>Partial Staff</v>
          </cell>
          <cell r="F1684" t="str">
            <v>Macys - Partial S</v>
          </cell>
          <cell r="G1684" t="str">
            <v>Macy</v>
          </cell>
          <cell r="H1684" t="str">
            <v>SG_06_01 Sun Glass Hut_Macys PS_OWNED</v>
          </cell>
          <cell r="I1684" t="str">
            <v>0000005965 Salem Center - Macy's</v>
          </cell>
          <cell r="J1684" t="str">
            <v>Department - PS</v>
          </cell>
          <cell r="K1684">
            <v>0</v>
          </cell>
        </row>
        <row r="1685">
          <cell r="C1685">
            <v>5967</v>
          </cell>
          <cell r="D1685" t="str">
            <v>Macy</v>
          </cell>
          <cell r="E1685" t="str">
            <v>Partial Staff</v>
          </cell>
          <cell r="F1685" t="str">
            <v>Macys - Partial S</v>
          </cell>
          <cell r="G1685" t="str">
            <v>Macy</v>
          </cell>
          <cell r="H1685" t="str">
            <v>SG_06_01 Sun Glass Hut_Macys PS_OWNED</v>
          </cell>
          <cell r="I1685" t="str">
            <v>0000005967 FlatIron Crossing - Macy's</v>
          </cell>
          <cell r="J1685" t="str">
            <v>Department - PS</v>
          </cell>
          <cell r="K1685">
            <v>0</v>
          </cell>
        </row>
        <row r="1686">
          <cell r="C1686">
            <v>5968</v>
          </cell>
          <cell r="D1686" t="str">
            <v>Macy</v>
          </cell>
          <cell r="E1686" t="str">
            <v>Partial Staff</v>
          </cell>
          <cell r="F1686" t="str">
            <v>Macys - Partial S</v>
          </cell>
          <cell r="G1686" t="str">
            <v>Macy</v>
          </cell>
          <cell r="H1686" t="str">
            <v>SG_06_01 Sun Glass Hut_Macys PS_OWNED</v>
          </cell>
          <cell r="I1686" t="str">
            <v>0000005968 Parkway Mall - Macy's</v>
          </cell>
          <cell r="J1686" t="str">
            <v>Department - PS</v>
          </cell>
          <cell r="K1686">
            <v>0</v>
          </cell>
        </row>
        <row r="1687">
          <cell r="C1687">
            <v>5970</v>
          </cell>
          <cell r="D1687" t="str">
            <v>Macy</v>
          </cell>
          <cell r="E1687" t="str">
            <v>Partial Staff</v>
          </cell>
          <cell r="F1687" t="str">
            <v>Macys - Partial S</v>
          </cell>
          <cell r="G1687" t="str">
            <v>Macy</v>
          </cell>
          <cell r="H1687" t="str">
            <v>SG_06_01 Sun Glass Hut_Macys PS_OWNED</v>
          </cell>
          <cell r="I1687" t="str">
            <v>0000005970 Cottonwood Mall - Macy's</v>
          </cell>
          <cell r="J1687" t="str">
            <v>Department - PS</v>
          </cell>
          <cell r="K1687">
            <v>0</v>
          </cell>
        </row>
        <row r="1688">
          <cell r="C1688">
            <v>5971</v>
          </cell>
          <cell r="D1688" t="str">
            <v>Macy</v>
          </cell>
          <cell r="E1688" t="str">
            <v>Partial Staff</v>
          </cell>
          <cell r="F1688" t="str">
            <v>Macys - Partial S</v>
          </cell>
          <cell r="G1688" t="str">
            <v>Macy</v>
          </cell>
          <cell r="H1688" t="str">
            <v>SG_06_01 Sun Glass Hut_Macys PS_OWNED</v>
          </cell>
          <cell r="I1688" t="str">
            <v>0000005971 Eagle Rock Plaza - Macy's</v>
          </cell>
          <cell r="J1688" t="str">
            <v>Department - PS</v>
          </cell>
          <cell r="K1688">
            <v>0</v>
          </cell>
        </row>
        <row r="1689">
          <cell r="C1689">
            <v>5972</v>
          </cell>
          <cell r="D1689" t="str">
            <v>Macy</v>
          </cell>
          <cell r="E1689" t="str">
            <v>Partial Staff</v>
          </cell>
          <cell r="F1689" t="str">
            <v>Macys - Partial S</v>
          </cell>
          <cell r="G1689" t="str">
            <v>Macy</v>
          </cell>
          <cell r="H1689" t="str">
            <v>SG_06_01 Sun Glass Hut_Macys PS_OWNED</v>
          </cell>
          <cell r="I1689" t="str">
            <v>0000005972 Park Place Mall - Macy's</v>
          </cell>
          <cell r="J1689" t="str">
            <v>Department - PS</v>
          </cell>
          <cell r="K1689">
            <v>0</v>
          </cell>
        </row>
        <row r="1690">
          <cell r="C1690">
            <v>5973</v>
          </cell>
          <cell r="D1690" t="str">
            <v>Macy</v>
          </cell>
          <cell r="E1690" t="str">
            <v>Partial Staff</v>
          </cell>
          <cell r="F1690" t="str">
            <v>Macys - Partial S</v>
          </cell>
          <cell r="G1690" t="str">
            <v>Macy</v>
          </cell>
          <cell r="H1690" t="str">
            <v>SG_06_01 Sun Glass Hut_Macys PS_OWNED</v>
          </cell>
          <cell r="I1690" t="str">
            <v>0000005973 Santa Maria Town Center - Macy</v>
          </cell>
          <cell r="J1690" t="str">
            <v>Department - PS</v>
          </cell>
          <cell r="K1690">
            <v>0</v>
          </cell>
        </row>
        <row r="1691">
          <cell r="C1691">
            <v>5974</v>
          </cell>
          <cell r="D1691" t="str">
            <v>Macy</v>
          </cell>
          <cell r="E1691" t="str">
            <v>Partial Staff</v>
          </cell>
          <cell r="F1691" t="str">
            <v>Macys - Partial S</v>
          </cell>
          <cell r="G1691" t="str">
            <v>Macy</v>
          </cell>
          <cell r="H1691" t="str">
            <v>SG_06_01 Sun Glass Hut_Macys PS_OWNED</v>
          </cell>
          <cell r="I1691" t="str">
            <v>0000005974 Mission Valley Center - Macy's</v>
          </cell>
          <cell r="J1691" t="str">
            <v>Department - PS</v>
          </cell>
          <cell r="K1691">
            <v>0</v>
          </cell>
        </row>
        <row r="1692">
          <cell r="C1692">
            <v>5975</v>
          </cell>
          <cell r="D1692" t="str">
            <v>Macy</v>
          </cell>
          <cell r="E1692" t="str">
            <v>Partial Staff</v>
          </cell>
          <cell r="F1692" t="str">
            <v>Macys - Partial S</v>
          </cell>
          <cell r="G1692" t="str">
            <v>Macy</v>
          </cell>
          <cell r="H1692" t="str">
            <v>SG_06_01 Sun Glass Hut_Macys PS_OWNED</v>
          </cell>
          <cell r="I1692" t="str">
            <v>0000005975 The Streets of Tanasbourne - M</v>
          </cell>
          <cell r="J1692" t="str">
            <v>Department - PS</v>
          </cell>
          <cell r="K1692">
            <v>0</v>
          </cell>
        </row>
        <row r="1693">
          <cell r="C1693">
            <v>5977</v>
          </cell>
          <cell r="D1693" t="str">
            <v>Macy</v>
          </cell>
          <cell r="E1693" t="str">
            <v>Partial Staff</v>
          </cell>
          <cell r="F1693" t="str">
            <v>Macys - Partial S</v>
          </cell>
          <cell r="G1693" t="str">
            <v>Macy</v>
          </cell>
          <cell r="H1693" t="str">
            <v>SG_06_01 Sun Glass Hut_Macys PS_OWNED</v>
          </cell>
          <cell r="I1693" t="str">
            <v>0000005977 Layton Hills Mall - Macy's</v>
          </cell>
          <cell r="J1693" t="str">
            <v>Department - PS</v>
          </cell>
          <cell r="K1693">
            <v>0</v>
          </cell>
        </row>
        <row r="1694">
          <cell r="C1694">
            <v>5979</v>
          </cell>
          <cell r="D1694" t="str">
            <v>Macy</v>
          </cell>
          <cell r="E1694" t="str">
            <v>Partial Staff</v>
          </cell>
          <cell r="F1694" t="str">
            <v>Macys - Partial S</v>
          </cell>
          <cell r="G1694" t="str">
            <v>Macy</v>
          </cell>
          <cell r="H1694" t="str">
            <v>SG_06_01 Sun Glass Hut_Macys PS_OWNED</v>
          </cell>
          <cell r="I1694" t="str">
            <v>0000005979 Southwest Plaza Mall - Macy's</v>
          </cell>
          <cell r="J1694" t="str">
            <v>Department - PS</v>
          </cell>
          <cell r="K1694">
            <v>0</v>
          </cell>
        </row>
        <row r="1695">
          <cell r="C1695">
            <v>5980</v>
          </cell>
          <cell r="D1695" t="str">
            <v>Macy</v>
          </cell>
          <cell r="E1695" t="str">
            <v>Partial Staff</v>
          </cell>
          <cell r="F1695" t="str">
            <v>Macys - Partial S</v>
          </cell>
          <cell r="G1695" t="str">
            <v>Macy</v>
          </cell>
          <cell r="H1695" t="str">
            <v>SG_06_01 Sun Glass Hut_Macys PS_OWNED</v>
          </cell>
          <cell r="I1695" t="str">
            <v>0000005980 Downtown Portland - Macy's</v>
          </cell>
          <cell r="J1695" t="str">
            <v>Department - PS</v>
          </cell>
          <cell r="K1695">
            <v>0</v>
          </cell>
        </row>
        <row r="1696">
          <cell r="C1696">
            <v>5981</v>
          </cell>
          <cell r="D1696" t="str">
            <v>Macy</v>
          </cell>
          <cell r="E1696" t="str">
            <v>Partial Staff</v>
          </cell>
          <cell r="F1696" t="str">
            <v>Macys - Partial S</v>
          </cell>
          <cell r="G1696" t="str">
            <v>Macy</v>
          </cell>
          <cell r="H1696" t="str">
            <v>SG_06_01 Sun Glass Hut_Macys PS_OWNED</v>
          </cell>
          <cell r="I1696" t="str">
            <v>0000005981 Cascade Mall - Macy's</v>
          </cell>
          <cell r="J1696" t="str">
            <v>Department - PS</v>
          </cell>
          <cell r="K1696">
            <v>0</v>
          </cell>
        </row>
        <row r="1697">
          <cell r="C1697">
            <v>5982</v>
          </cell>
          <cell r="D1697" t="str">
            <v>Macy</v>
          </cell>
          <cell r="E1697" t="str">
            <v>Partial Staff</v>
          </cell>
          <cell r="F1697" t="str">
            <v>Macys - Partial S</v>
          </cell>
          <cell r="G1697" t="str">
            <v>Macy</v>
          </cell>
          <cell r="H1697" t="str">
            <v>SG_06_01 Sun Glass Hut_Macys PS_OWNED</v>
          </cell>
          <cell r="I1697" t="str">
            <v>0000005982 The Boulevard Mall - Macy's</v>
          </cell>
          <cell r="J1697" t="str">
            <v>Department - PS</v>
          </cell>
          <cell r="K1697">
            <v>0</v>
          </cell>
        </row>
        <row r="1698">
          <cell r="C1698">
            <v>5983</v>
          </cell>
          <cell r="D1698" t="str">
            <v>Macy</v>
          </cell>
          <cell r="E1698" t="str">
            <v>Partial Staff</v>
          </cell>
          <cell r="F1698" t="str">
            <v>Macys - Partial S</v>
          </cell>
          <cell r="G1698" t="str">
            <v>Macy</v>
          </cell>
          <cell r="H1698" t="str">
            <v>SG_06_01 Sun Glass Hut_Macys PS_OWNED</v>
          </cell>
          <cell r="I1698" t="str">
            <v>0000005983 Windward Mall - Macy's</v>
          </cell>
          <cell r="J1698" t="str">
            <v>Department - PS</v>
          </cell>
          <cell r="K1698">
            <v>0</v>
          </cell>
        </row>
        <row r="1699">
          <cell r="C1699">
            <v>5984</v>
          </cell>
          <cell r="D1699" t="str">
            <v>Macy</v>
          </cell>
          <cell r="E1699" t="str">
            <v>Partial Staff</v>
          </cell>
          <cell r="F1699" t="str">
            <v>Macys - Partial S</v>
          </cell>
          <cell r="G1699" t="str">
            <v>Macy</v>
          </cell>
          <cell r="H1699" t="str">
            <v>SG_06_01 Sun Glass Hut_Macys PS_OWNED</v>
          </cell>
          <cell r="I1699" t="str">
            <v>0000005984 Country Club Plaza Mall - Macy</v>
          </cell>
          <cell r="J1699" t="str">
            <v>Department - PS</v>
          </cell>
          <cell r="K1699">
            <v>0</v>
          </cell>
        </row>
        <row r="1700">
          <cell r="C1700">
            <v>5985</v>
          </cell>
          <cell r="D1700" t="str">
            <v>Macy</v>
          </cell>
          <cell r="E1700" t="str">
            <v>Partial Staff</v>
          </cell>
          <cell r="F1700" t="str">
            <v>Macys - Partial S</v>
          </cell>
          <cell r="G1700" t="str">
            <v>Macy</v>
          </cell>
          <cell r="H1700" t="str">
            <v>SG_06_01 Sun Glass Hut_Macys PS_OWNED</v>
          </cell>
          <cell r="I1700" t="str">
            <v>0000005985 Downtown Spokane - Macy's</v>
          </cell>
          <cell r="J1700" t="str">
            <v>Department - PS</v>
          </cell>
          <cell r="K1700">
            <v>0</v>
          </cell>
        </row>
        <row r="1701">
          <cell r="C1701">
            <v>5987</v>
          </cell>
          <cell r="D1701" t="str">
            <v>Macy</v>
          </cell>
          <cell r="E1701" t="str">
            <v>Partial Staff</v>
          </cell>
          <cell r="F1701" t="str">
            <v>Macys - Partial S</v>
          </cell>
          <cell r="G1701" t="str">
            <v>Macy</v>
          </cell>
          <cell r="H1701" t="str">
            <v>SG_06_01 Sun Glass Hut_Macys PS_OWNED</v>
          </cell>
          <cell r="I1701" t="str">
            <v>0000005987 Otay Ranch Town Center - Macy'</v>
          </cell>
          <cell r="J1701" t="str">
            <v>Department - PS</v>
          </cell>
          <cell r="K1701">
            <v>0</v>
          </cell>
        </row>
        <row r="1702">
          <cell r="C1702">
            <v>5990</v>
          </cell>
          <cell r="D1702" t="str">
            <v>Macy</v>
          </cell>
          <cell r="E1702" t="str">
            <v>Partial Staff</v>
          </cell>
          <cell r="F1702" t="str">
            <v>Macys - Partial S</v>
          </cell>
          <cell r="G1702" t="str">
            <v>Macy</v>
          </cell>
          <cell r="H1702" t="str">
            <v>SG_06_01 Sun Glass Hut_Macys PS_OWNED</v>
          </cell>
          <cell r="I1702" t="str">
            <v>0000005990 The Irvine Spectrum Center - M</v>
          </cell>
          <cell r="J1702" t="str">
            <v>Department - PS</v>
          </cell>
          <cell r="K1702">
            <v>0</v>
          </cell>
        </row>
        <row r="1703">
          <cell r="C1703">
            <v>5999</v>
          </cell>
          <cell r="D1703" t="str">
            <v>Macy</v>
          </cell>
          <cell r="E1703" t="str">
            <v>Partial Staff</v>
          </cell>
          <cell r="F1703" t="str">
            <v>Macys - Partial S</v>
          </cell>
          <cell r="G1703" t="str">
            <v>Macy</v>
          </cell>
          <cell r="H1703" t="str">
            <v>SG_06_01 Sun Glass Hut_Macys PS_OWNED</v>
          </cell>
          <cell r="I1703" t="str">
            <v>0000005999 Promenade Shops Centerra - Mac</v>
          </cell>
          <cell r="J1703" t="str">
            <v>Department - PS</v>
          </cell>
          <cell r="K1703">
            <v>0</v>
          </cell>
        </row>
        <row r="1704">
          <cell r="C1704">
            <v>6055</v>
          </cell>
          <cell r="D1704" t="str">
            <v>Macy</v>
          </cell>
          <cell r="E1704" t="str">
            <v>Partial Staff</v>
          </cell>
          <cell r="F1704" t="str">
            <v>Macys - Partial S</v>
          </cell>
          <cell r="G1704" t="str">
            <v>Macy</v>
          </cell>
          <cell r="H1704" t="str">
            <v>SG_06_01 Sun Glass Hut_Macys PS_OWNED</v>
          </cell>
          <cell r="I1704" t="str">
            <v>0000006055 Santan Village - Macy's</v>
          </cell>
          <cell r="J1704" t="str">
            <v>Department - PS</v>
          </cell>
          <cell r="K1704">
            <v>0</v>
          </cell>
        </row>
        <row r="1705">
          <cell r="C1705">
            <v>6058</v>
          </cell>
          <cell r="D1705" t="str">
            <v>Macy</v>
          </cell>
          <cell r="E1705" t="str">
            <v>Partial Staff</v>
          </cell>
          <cell r="F1705" t="str">
            <v>Macys - Partial S</v>
          </cell>
          <cell r="G1705" t="str">
            <v>Macy</v>
          </cell>
          <cell r="H1705" t="str">
            <v>SG_06_01 Sun Glass Hut_Macys PS_OWNED</v>
          </cell>
          <cell r="I1705" t="str">
            <v>0000006058 Visalia Mall - Macy's</v>
          </cell>
          <cell r="J1705" t="str">
            <v>Department - PS</v>
          </cell>
          <cell r="K1705">
            <v>0</v>
          </cell>
        </row>
        <row r="1706">
          <cell r="C1706">
            <v>6193</v>
          </cell>
          <cell r="D1706" t="str">
            <v>Macy</v>
          </cell>
          <cell r="E1706" t="str">
            <v>Partial Staff</v>
          </cell>
          <cell r="F1706" t="str">
            <v>Macys - Partial S</v>
          </cell>
          <cell r="G1706" t="str">
            <v>Macy</v>
          </cell>
          <cell r="H1706" t="str">
            <v>SG_06_01 Sun Glass Hut_Macys PS_OWNED</v>
          </cell>
          <cell r="I1706" t="str">
            <v>0000006193 Francis Scott Key Mall - Macy'</v>
          </cell>
          <cell r="J1706" t="str">
            <v>Department - PS</v>
          </cell>
          <cell r="K1706">
            <v>0</v>
          </cell>
        </row>
        <row r="1707">
          <cell r="C1707">
            <v>6209</v>
          </cell>
          <cell r="D1707" t="str">
            <v>Macy</v>
          </cell>
          <cell r="E1707" t="str">
            <v>Partial Staff</v>
          </cell>
          <cell r="F1707" t="str">
            <v>Macys - Partial S</v>
          </cell>
          <cell r="G1707" t="str">
            <v>Macy</v>
          </cell>
          <cell r="H1707" t="str">
            <v>SG_06_01 Sun Glass Hut_Macys PS_OWNED</v>
          </cell>
          <cell r="I1707" t="str">
            <v>0000006209 Bedford Mall - Macy's</v>
          </cell>
          <cell r="J1707" t="str">
            <v>Department - PS</v>
          </cell>
          <cell r="K1707">
            <v>0</v>
          </cell>
        </row>
        <row r="1708">
          <cell r="C1708">
            <v>6229</v>
          </cell>
          <cell r="D1708" t="str">
            <v>Macy</v>
          </cell>
          <cell r="E1708" t="str">
            <v>Partial Staff</v>
          </cell>
          <cell r="F1708" t="str">
            <v>Macys - Partial S</v>
          </cell>
          <cell r="G1708" t="str">
            <v>Macy</v>
          </cell>
          <cell r="H1708" t="str">
            <v>SG_06_01 Sun Glass Hut_Macys PS_OWNED</v>
          </cell>
          <cell r="I1708" t="str">
            <v>0000006229 Brass Mill Center - Macy's</v>
          </cell>
          <cell r="J1708" t="str">
            <v>Department - PS</v>
          </cell>
          <cell r="K1708">
            <v>0</v>
          </cell>
        </row>
        <row r="1709">
          <cell r="C1709">
            <v>6230</v>
          </cell>
          <cell r="D1709" t="str">
            <v>Macy</v>
          </cell>
          <cell r="E1709" t="str">
            <v>Partial Staff</v>
          </cell>
          <cell r="F1709" t="str">
            <v>Macys - Partial S</v>
          </cell>
          <cell r="G1709" t="str">
            <v>Macy</v>
          </cell>
          <cell r="H1709" t="str">
            <v>SG_06_01 Sun Glass Hut_Macys PS_OWNED</v>
          </cell>
          <cell r="I1709" t="str">
            <v>0000006230 Westgate Mall - Macy's</v>
          </cell>
          <cell r="J1709" t="str">
            <v>Department - PS</v>
          </cell>
          <cell r="K1709">
            <v>0</v>
          </cell>
        </row>
        <row r="1710">
          <cell r="C1710">
            <v>6237</v>
          </cell>
          <cell r="D1710" t="str">
            <v>Macy</v>
          </cell>
          <cell r="E1710" t="str">
            <v>Partial Staff</v>
          </cell>
          <cell r="F1710" t="str">
            <v>Macys - Partial S</v>
          </cell>
          <cell r="G1710" t="str">
            <v>Macy</v>
          </cell>
          <cell r="H1710" t="str">
            <v>SG_06_01 Sun Glass Hut_Macys PS_OWNED</v>
          </cell>
          <cell r="I1710" t="str">
            <v>0000006237 Fox Run Mall - Macy's</v>
          </cell>
          <cell r="J1710" t="str">
            <v>Department - PS</v>
          </cell>
          <cell r="K1710">
            <v>0</v>
          </cell>
        </row>
        <row r="1711">
          <cell r="C1711">
            <v>6243</v>
          </cell>
          <cell r="D1711" t="str">
            <v>Macy</v>
          </cell>
          <cell r="E1711" t="str">
            <v>Partial Staff</v>
          </cell>
          <cell r="F1711" t="str">
            <v>Macys - Partial S</v>
          </cell>
          <cell r="G1711" t="str">
            <v>Macy</v>
          </cell>
          <cell r="H1711" t="str">
            <v>SG_06_01 Sun Glass Hut_Macys PS_OWNED</v>
          </cell>
          <cell r="I1711" t="str">
            <v>0000006243 Crystal Mall - Macy's</v>
          </cell>
          <cell r="J1711" t="str">
            <v>Department - PS</v>
          </cell>
          <cell r="K1711">
            <v>0</v>
          </cell>
        </row>
        <row r="1712">
          <cell r="C1712">
            <v>6268</v>
          </cell>
          <cell r="D1712" t="str">
            <v>Macy</v>
          </cell>
          <cell r="E1712" t="str">
            <v>Partial Staff</v>
          </cell>
          <cell r="F1712" t="str">
            <v>Macys - Partial S</v>
          </cell>
          <cell r="G1712" t="str">
            <v>Macy</v>
          </cell>
          <cell r="H1712" t="str">
            <v>SG_06_01 Sun Glass Hut_Macys PS_OWNED</v>
          </cell>
          <cell r="I1712" t="str">
            <v>0000006268 Swansea Mall - Macy's</v>
          </cell>
          <cell r="J1712" t="str">
            <v>Department - PS</v>
          </cell>
          <cell r="K1712">
            <v>0</v>
          </cell>
        </row>
        <row r="1713">
          <cell r="C1713">
            <v>6320</v>
          </cell>
          <cell r="D1713" t="str">
            <v>Macy</v>
          </cell>
          <cell r="E1713" t="str">
            <v>Partial Staff</v>
          </cell>
          <cell r="F1713" t="str">
            <v>Macys - Partial S</v>
          </cell>
          <cell r="G1713" t="str">
            <v>Macy</v>
          </cell>
          <cell r="H1713" t="str">
            <v>SG_06_01 Sun Glass Hut_Macys PS_OWNED</v>
          </cell>
          <cell r="I1713" t="str">
            <v>0000006320 The Shops at Nanuet - Macy's</v>
          </cell>
          <cell r="J1713" t="str">
            <v>Department - PS</v>
          </cell>
          <cell r="K1713">
            <v>0</v>
          </cell>
        </row>
        <row r="1714">
          <cell r="C1714">
            <v>6344</v>
          </cell>
          <cell r="D1714" t="str">
            <v>Macy</v>
          </cell>
          <cell r="E1714" t="str">
            <v>Partial Staff</v>
          </cell>
          <cell r="F1714" t="str">
            <v>Macys - Partial S</v>
          </cell>
          <cell r="G1714" t="str">
            <v>Macy</v>
          </cell>
          <cell r="H1714" t="str">
            <v>SG_06_01 Sun Glass Hut_Macys PS_OWNED</v>
          </cell>
          <cell r="I1714" t="str">
            <v>0000006344 Marley Station - Macy's</v>
          </cell>
          <cell r="J1714" t="str">
            <v>Department - PS</v>
          </cell>
          <cell r="K1714">
            <v>0</v>
          </cell>
        </row>
        <row r="1715">
          <cell r="C1715">
            <v>6346</v>
          </cell>
          <cell r="D1715" t="str">
            <v>Macy</v>
          </cell>
          <cell r="E1715" t="str">
            <v>Partial Staff</v>
          </cell>
          <cell r="F1715" t="str">
            <v>Macys - Partial S</v>
          </cell>
          <cell r="G1715" t="str">
            <v>Macy</v>
          </cell>
          <cell r="H1715" t="str">
            <v>SG_06_01 Sun Glass Hut_Macys PS_OWNED</v>
          </cell>
          <cell r="I1715" t="str">
            <v>0000006346 Owings Mills Mall - Macy's</v>
          </cell>
          <cell r="J1715" t="str">
            <v>Department - PS</v>
          </cell>
          <cell r="K1715">
            <v>0</v>
          </cell>
        </row>
        <row r="1716">
          <cell r="C1716">
            <v>6348</v>
          </cell>
          <cell r="D1716" t="str">
            <v>Macy</v>
          </cell>
          <cell r="E1716" t="str">
            <v>Partial Staff</v>
          </cell>
          <cell r="F1716" t="str">
            <v>Macys - Partial S</v>
          </cell>
          <cell r="G1716" t="str">
            <v>Macy</v>
          </cell>
          <cell r="H1716" t="str">
            <v>SG_06_01 Sun Glass Hut_Macys PS_OWNED</v>
          </cell>
          <cell r="I1716" t="str">
            <v>0000006348 Essex Green Shopping Ctr - Mac</v>
          </cell>
          <cell r="J1716" t="str">
            <v>Department - PS</v>
          </cell>
          <cell r="K1716">
            <v>0</v>
          </cell>
        </row>
        <row r="1717">
          <cell r="C1717">
            <v>6357</v>
          </cell>
          <cell r="D1717" t="str">
            <v>Macy</v>
          </cell>
          <cell r="E1717" t="str">
            <v>Partial Staff</v>
          </cell>
          <cell r="F1717" t="str">
            <v>Macys - Partial S</v>
          </cell>
          <cell r="G1717" t="str">
            <v>Macy</v>
          </cell>
          <cell r="H1717" t="str">
            <v>SG_06_01 Sun Glass Hut_Macys PS_OWNED</v>
          </cell>
          <cell r="I1717" t="str">
            <v>0000006357 Manassas Mall - Macy's</v>
          </cell>
          <cell r="J1717" t="str">
            <v>Department - PS</v>
          </cell>
          <cell r="K1717">
            <v>0</v>
          </cell>
        </row>
        <row r="1718">
          <cell r="C1718">
            <v>6359</v>
          </cell>
          <cell r="D1718" t="str">
            <v>Macy</v>
          </cell>
          <cell r="E1718" t="str">
            <v>Partial Staff</v>
          </cell>
          <cell r="F1718" t="str">
            <v>Macys - Partial S</v>
          </cell>
          <cell r="G1718" t="str">
            <v>Macy</v>
          </cell>
          <cell r="H1718" t="str">
            <v>SG_06_01 Sun Glass Hut_Macys PS_OWNED</v>
          </cell>
          <cell r="I1718" t="str">
            <v>0000006359 Spotsylvania Towne Centre - Ma</v>
          </cell>
          <cell r="J1718" t="str">
            <v>Department - PS</v>
          </cell>
          <cell r="K1718">
            <v>0</v>
          </cell>
        </row>
        <row r="1719">
          <cell r="C1719">
            <v>6377</v>
          </cell>
          <cell r="D1719" t="str">
            <v>Macy</v>
          </cell>
          <cell r="E1719" t="str">
            <v>Partial Staff</v>
          </cell>
          <cell r="F1719" t="str">
            <v>Macys - Partial S</v>
          </cell>
          <cell r="G1719" t="str">
            <v>Macy</v>
          </cell>
          <cell r="H1719" t="str">
            <v>SG_06_01 Sun Glass Hut_Macys PS_OWNED</v>
          </cell>
          <cell r="I1719" t="str">
            <v>0000006377 Enfield Square Mall - Macy's</v>
          </cell>
          <cell r="J1719" t="str">
            <v>Department - PS</v>
          </cell>
          <cell r="K1719">
            <v>0</v>
          </cell>
        </row>
        <row r="1720">
          <cell r="C1720">
            <v>6433</v>
          </cell>
          <cell r="D1720" t="str">
            <v>Macy</v>
          </cell>
          <cell r="E1720" t="str">
            <v>Partial Staff</v>
          </cell>
          <cell r="F1720" t="str">
            <v>Macys - Partial S</v>
          </cell>
          <cell r="G1720" t="str">
            <v>Macy</v>
          </cell>
          <cell r="H1720" t="str">
            <v>SG_06_01 Sun Glass Hut_Macys PS_OWNED</v>
          </cell>
          <cell r="I1720" t="str">
            <v>0000006433 The Mall at Greece Ridge - Mac</v>
          </cell>
          <cell r="J1720" t="str">
            <v>Department - PS</v>
          </cell>
          <cell r="K1720">
            <v>0</v>
          </cell>
        </row>
        <row r="1721">
          <cell r="C1721">
            <v>6442</v>
          </cell>
          <cell r="D1721" t="str">
            <v>Macy</v>
          </cell>
          <cell r="E1721" t="str">
            <v>Partial Staff</v>
          </cell>
          <cell r="F1721" t="str">
            <v>Macys - Partial S</v>
          </cell>
          <cell r="G1721" t="str">
            <v>Macy</v>
          </cell>
          <cell r="H1721" t="str">
            <v>SG_06_01 Sun Glass Hut_Macys PS_OWNED</v>
          </cell>
          <cell r="I1721" t="str">
            <v>0000006442 The Marketplace Mall - Macy's</v>
          </cell>
          <cell r="J1721" t="str">
            <v>Department - PS</v>
          </cell>
          <cell r="K1721">
            <v>0</v>
          </cell>
        </row>
        <row r="1722">
          <cell r="C1722">
            <v>6460</v>
          </cell>
          <cell r="D1722" t="str">
            <v>Macy</v>
          </cell>
          <cell r="E1722" t="str">
            <v>Partial Staff</v>
          </cell>
          <cell r="F1722" t="str">
            <v>Macys - Partial S</v>
          </cell>
          <cell r="G1722" t="str">
            <v>Macy</v>
          </cell>
          <cell r="H1722" t="str">
            <v>SG_06_01 Sun Glass Hut_Macys PS_OWNED</v>
          </cell>
          <cell r="I1722" t="str">
            <v>0000006460 Exton Square Mall - Macy's</v>
          </cell>
          <cell r="J1722" t="str">
            <v>Department - PS</v>
          </cell>
          <cell r="K1722">
            <v>0</v>
          </cell>
        </row>
        <row r="1723">
          <cell r="C1723">
            <v>6480</v>
          </cell>
          <cell r="D1723" t="str">
            <v>Macy</v>
          </cell>
          <cell r="E1723" t="str">
            <v>Partial Staff</v>
          </cell>
          <cell r="F1723" t="str">
            <v>Macys - Partial S</v>
          </cell>
          <cell r="G1723" t="str">
            <v>Macy</v>
          </cell>
          <cell r="H1723" t="str">
            <v>SG_06_01 Sun Glass Hut_Macys PS_OWNED</v>
          </cell>
          <cell r="I1723" t="str">
            <v>0000006480 The Centre at Salisbury - Macy</v>
          </cell>
          <cell r="J1723" t="str">
            <v>Department - PS</v>
          </cell>
          <cell r="K1723">
            <v>0</v>
          </cell>
        </row>
        <row r="1724">
          <cell r="C1724">
            <v>6484</v>
          </cell>
          <cell r="D1724" t="str">
            <v>Macy</v>
          </cell>
          <cell r="E1724" t="str">
            <v>Partial Staff</v>
          </cell>
          <cell r="F1724" t="str">
            <v>Macys - Partial S</v>
          </cell>
          <cell r="G1724" t="str">
            <v>Macy</v>
          </cell>
          <cell r="H1724" t="str">
            <v>SG_06_01 Sun Glass Hut_Macys PS_OWNED</v>
          </cell>
          <cell r="I1724" t="str">
            <v>0000006484 Neshaminy Mall - Macy's</v>
          </cell>
          <cell r="J1724" t="str">
            <v>Department - PS</v>
          </cell>
          <cell r="K1724">
            <v>0</v>
          </cell>
        </row>
        <row r="1725">
          <cell r="C1725">
            <v>6499</v>
          </cell>
          <cell r="D1725" t="str">
            <v>Macy</v>
          </cell>
          <cell r="E1725" t="str">
            <v>Partial Staff</v>
          </cell>
          <cell r="F1725" t="str">
            <v>Macys - Partial S</v>
          </cell>
          <cell r="G1725" t="str">
            <v>Macy</v>
          </cell>
          <cell r="H1725" t="str">
            <v>SG_06_01 Sun Glass Hut_Macys PS_OWNED</v>
          </cell>
          <cell r="I1725" t="str">
            <v>0000006499 Bangor Mall - Macy's</v>
          </cell>
          <cell r="J1725" t="str">
            <v>Department - PS</v>
          </cell>
          <cell r="K1725">
            <v>0</v>
          </cell>
        </row>
        <row r="1726">
          <cell r="C1726">
            <v>7243</v>
          </cell>
          <cell r="D1726" t="str">
            <v>Macy</v>
          </cell>
          <cell r="E1726" t="str">
            <v>Partial Staff</v>
          </cell>
          <cell r="F1726" t="str">
            <v>Macys - Partial S</v>
          </cell>
          <cell r="G1726" t="str">
            <v>Macy</v>
          </cell>
          <cell r="H1726" t="str">
            <v>SG_06_01 Sun Glass Hut_Macys PS_OWNED</v>
          </cell>
          <cell r="I1726" t="str">
            <v>0000007243 Independence Mall - Macy's</v>
          </cell>
          <cell r="J1726" t="str">
            <v>Department - PS</v>
          </cell>
          <cell r="K1726">
            <v>0</v>
          </cell>
        </row>
        <row r="1727">
          <cell r="C1727">
            <v>7246</v>
          </cell>
          <cell r="D1727" t="str">
            <v>Macy</v>
          </cell>
          <cell r="E1727" t="str">
            <v>Partial Staff</v>
          </cell>
          <cell r="F1727" t="str">
            <v>Macys - Partial S</v>
          </cell>
          <cell r="G1727" t="str">
            <v>Macy</v>
          </cell>
          <cell r="H1727" t="str">
            <v>SG_06_01 Sun Glass Hut_Macys PS_OWNED</v>
          </cell>
          <cell r="I1727" t="str">
            <v>0000007246 Preakness Shopping Center - Ma</v>
          </cell>
          <cell r="J1727" t="str">
            <v>Department - PS</v>
          </cell>
          <cell r="K1727">
            <v>0</v>
          </cell>
        </row>
        <row r="1728">
          <cell r="C1728">
            <v>7247</v>
          </cell>
          <cell r="D1728" t="str">
            <v>Macy</v>
          </cell>
          <cell r="E1728" t="str">
            <v>Partial Staff</v>
          </cell>
          <cell r="F1728" t="str">
            <v>Macys - Partial S</v>
          </cell>
          <cell r="G1728" t="str">
            <v>Macy</v>
          </cell>
          <cell r="H1728" t="str">
            <v>SG_06_01 Sun Glass Hut_Macys PS_OWNED</v>
          </cell>
          <cell r="I1728" t="str">
            <v>0000007247 Hanover Mall - Macy's</v>
          </cell>
          <cell r="J1728" t="str">
            <v>Department - PS</v>
          </cell>
          <cell r="K1728">
            <v>0</v>
          </cell>
        </row>
        <row r="1729">
          <cell r="C1729">
            <v>7252</v>
          </cell>
          <cell r="D1729" t="str">
            <v>Macy</v>
          </cell>
          <cell r="E1729" t="str">
            <v>Partial Staff</v>
          </cell>
          <cell r="F1729" t="str">
            <v>Macys - Partial S</v>
          </cell>
          <cell r="G1729" t="str">
            <v>Macy</v>
          </cell>
          <cell r="H1729" t="str">
            <v>SG_06_01 Sun Glass Hut_Macys PS_OWNED</v>
          </cell>
          <cell r="I1729" t="str">
            <v>0000007252 Silver City Galleria - Macy's</v>
          </cell>
          <cell r="J1729" t="str">
            <v>Department - PS</v>
          </cell>
          <cell r="K1729">
            <v>0</v>
          </cell>
        </row>
        <row r="1730">
          <cell r="C1730">
            <v>7253</v>
          </cell>
          <cell r="D1730" t="str">
            <v>Macy</v>
          </cell>
          <cell r="E1730" t="str">
            <v>Partial Staff</v>
          </cell>
          <cell r="F1730" t="str">
            <v>Macys - Partial S</v>
          </cell>
          <cell r="G1730" t="str">
            <v>Macy</v>
          </cell>
          <cell r="H1730" t="str">
            <v>SG_06_01 Sun Glass Hut_Macys PS_OWNED</v>
          </cell>
          <cell r="I1730" t="str">
            <v>0000007253 Dartmouth Mall - Macy's</v>
          </cell>
          <cell r="J1730" t="str">
            <v>Department - PS</v>
          </cell>
          <cell r="K1730">
            <v>0</v>
          </cell>
        </row>
        <row r="1731">
          <cell r="C1731">
            <v>7255</v>
          </cell>
          <cell r="D1731" t="str">
            <v>Macy</v>
          </cell>
          <cell r="E1731" t="str">
            <v>Partial Staff</v>
          </cell>
          <cell r="F1731" t="str">
            <v>Macys - Partial S</v>
          </cell>
          <cell r="G1731" t="str">
            <v>Macy</v>
          </cell>
          <cell r="H1731" t="str">
            <v>SG_06_01 Sun Glass Hut_Macys PS_OWNED</v>
          </cell>
          <cell r="I1731" t="str">
            <v>0000007255 The Mall at Prince Georges - M</v>
          </cell>
          <cell r="J1731" t="str">
            <v>Department - PS</v>
          </cell>
          <cell r="K1731">
            <v>0</v>
          </cell>
        </row>
        <row r="1732">
          <cell r="C1732">
            <v>7262</v>
          </cell>
          <cell r="D1732" t="str">
            <v>Macy</v>
          </cell>
          <cell r="E1732" t="str">
            <v>Partial Staff</v>
          </cell>
          <cell r="F1732" t="str">
            <v>Macys - Partial S</v>
          </cell>
          <cell r="G1732" t="str">
            <v>Macy</v>
          </cell>
          <cell r="H1732" t="str">
            <v>SG_06_01 Sun Glass Hut_Macys PS_OWNED</v>
          </cell>
          <cell r="I1732" t="str">
            <v>0000007262 Burlington Town Center - Macy'</v>
          </cell>
          <cell r="J1732" t="str">
            <v>Department - PS</v>
          </cell>
          <cell r="K1732">
            <v>0</v>
          </cell>
        </row>
        <row r="1733">
          <cell r="C1733">
            <v>7266</v>
          </cell>
          <cell r="D1733" t="str">
            <v>Macy</v>
          </cell>
          <cell r="E1733" t="str">
            <v>Partial Staff</v>
          </cell>
          <cell r="F1733" t="str">
            <v>Macys - Partial S</v>
          </cell>
          <cell r="G1733" t="str">
            <v>Macy</v>
          </cell>
          <cell r="H1733" t="str">
            <v>SG_06_01 Sun Glass Hut_Macys PS_OWNED</v>
          </cell>
          <cell r="I1733" t="str">
            <v>0000007266 Sangertown Square - Macy's</v>
          </cell>
          <cell r="J1733" t="str">
            <v>Department - PS</v>
          </cell>
          <cell r="K1733">
            <v>0</v>
          </cell>
        </row>
        <row r="1734">
          <cell r="C1734">
            <v>7274</v>
          </cell>
          <cell r="D1734" t="str">
            <v>Macy</v>
          </cell>
          <cell r="E1734" t="str">
            <v>Partial Staff</v>
          </cell>
          <cell r="F1734" t="str">
            <v>Macys - Partial S</v>
          </cell>
          <cell r="G1734" t="str">
            <v>Macy</v>
          </cell>
          <cell r="H1734" t="str">
            <v>SG_06_01 Sun Glass Hut_Macys PS_OWNED</v>
          </cell>
          <cell r="I1734" t="str">
            <v>0000007274 Louis Joliet Mall - Macy's</v>
          </cell>
          <cell r="J1734" t="str">
            <v>Department - PS</v>
          </cell>
          <cell r="K1734">
            <v>0</v>
          </cell>
        </row>
        <row r="1735">
          <cell r="C1735">
            <v>7277</v>
          </cell>
          <cell r="D1735" t="str">
            <v>Macy</v>
          </cell>
          <cell r="E1735" t="str">
            <v>Partial Staff</v>
          </cell>
          <cell r="F1735" t="str">
            <v>Macys - Partial S</v>
          </cell>
          <cell r="G1735" t="str">
            <v>Macy</v>
          </cell>
          <cell r="H1735" t="str">
            <v>SG_06_01 Sun Glass Hut_Macys PS_OWNED</v>
          </cell>
          <cell r="I1735" t="str">
            <v>0000007277 RiverTown Crossings Mall - Mac</v>
          </cell>
          <cell r="J1735" t="str">
            <v>Department - PS</v>
          </cell>
          <cell r="K1735">
            <v>0</v>
          </cell>
        </row>
        <row r="1736">
          <cell r="C1736">
            <v>7278</v>
          </cell>
          <cell r="D1736" t="str">
            <v>Macy</v>
          </cell>
          <cell r="E1736" t="str">
            <v>Partial Staff</v>
          </cell>
          <cell r="F1736" t="str">
            <v>Macys - Partial S</v>
          </cell>
          <cell r="G1736" t="str">
            <v>Macy</v>
          </cell>
          <cell r="H1736" t="str">
            <v>SG_06_01 Sun Glass Hut_Macys PS_OWNED</v>
          </cell>
          <cell r="I1736" t="str">
            <v>0000007278 Grand Traverse Mall - Macy's</v>
          </cell>
          <cell r="J1736" t="str">
            <v>Department - PS</v>
          </cell>
          <cell r="K1736">
            <v>0</v>
          </cell>
        </row>
        <row r="1737">
          <cell r="C1737">
            <v>7283</v>
          </cell>
          <cell r="D1737" t="str">
            <v>Macy</v>
          </cell>
          <cell r="E1737" t="str">
            <v>Partial Staff</v>
          </cell>
          <cell r="F1737" t="str">
            <v>Macys - Partial S</v>
          </cell>
          <cell r="G1737" t="str">
            <v>Macy</v>
          </cell>
          <cell r="H1737" t="str">
            <v>SG_06_01 Sun Glass Hut_Macys PS_OWNED</v>
          </cell>
          <cell r="I1737" t="str">
            <v>0000007283 Charleston Town Center - Macy'</v>
          </cell>
          <cell r="J1737" t="str">
            <v>Department - PS</v>
          </cell>
          <cell r="K1737">
            <v>0</v>
          </cell>
        </row>
        <row r="1738">
          <cell r="C1738">
            <v>7284</v>
          </cell>
          <cell r="D1738" t="str">
            <v>Macy</v>
          </cell>
          <cell r="E1738" t="str">
            <v>Partial Staff</v>
          </cell>
          <cell r="F1738" t="str">
            <v>Macys - Partial S</v>
          </cell>
          <cell r="G1738" t="str">
            <v>Macy</v>
          </cell>
          <cell r="H1738" t="str">
            <v>SG_06_01 Sun Glass Hut_Macys PS_OWNED</v>
          </cell>
          <cell r="I1738" t="str">
            <v>0000007284 Northgate Mall - Macy's</v>
          </cell>
          <cell r="J1738" t="str">
            <v>Department - PS</v>
          </cell>
          <cell r="K1738">
            <v>0</v>
          </cell>
        </row>
        <row r="1739">
          <cell r="C1739">
            <v>7285</v>
          </cell>
          <cell r="D1739" t="str">
            <v>Macy</v>
          </cell>
          <cell r="E1739" t="str">
            <v>Partial Staff</v>
          </cell>
          <cell r="F1739" t="str">
            <v>Macys - Partial S</v>
          </cell>
          <cell r="G1739" t="str">
            <v>Macy</v>
          </cell>
          <cell r="H1739" t="str">
            <v>SG_06_01 Sun Glass Hut_Macys PS_OWNED</v>
          </cell>
          <cell r="I1739" t="str">
            <v>0000007285 Anderson Towne Ctr - Macy's</v>
          </cell>
          <cell r="J1739" t="str">
            <v>Department - PS</v>
          </cell>
          <cell r="K1739">
            <v>0</v>
          </cell>
        </row>
        <row r="1740">
          <cell r="C1740">
            <v>7288</v>
          </cell>
          <cell r="D1740" t="str">
            <v>Macy</v>
          </cell>
          <cell r="E1740" t="str">
            <v>Partial Staff</v>
          </cell>
          <cell r="F1740" t="str">
            <v>Macys - Partial S</v>
          </cell>
          <cell r="G1740" t="str">
            <v>Macy</v>
          </cell>
          <cell r="H1740" t="str">
            <v>SG_06_01 Sun Glass Hut_Macys PS_OWNED</v>
          </cell>
          <cell r="I1740" t="str">
            <v>0000007288 Great Lakes Mall - Macy's</v>
          </cell>
          <cell r="J1740" t="str">
            <v>Department - PS</v>
          </cell>
          <cell r="K1740">
            <v>0</v>
          </cell>
        </row>
        <row r="1741">
          <cell r="C1741">
            <v>7289</v>
          </cell>
          <cell r="D1741" t="str">
            <v>Macy</v>
          </cell>
          <cell r="E1741" t="str">
            <v>Partial Staff</v>
          </cell>
          <cell r="F1741" t="str">
            <v>Macys - Partial S</v>
          </cell>
          <cell r="G1741" t="str">
            <v>Macy</v>
          </cell>
          <cell r="H1741" t="str">
            <v>SG_06_01 Sun Glass Hut_Macys PS_OWNED</v>
          </cell>
          <cell r="I1741" t="str">
            <v>0000007289 Chapel Hill Mall - Macy's</v>
          </cell>
          <cell r="J1741" t="str">
            <v>Department - PS</v>
          </cell>
          <cell r="K1741">
            <v>0</v>
          </cell>
        </row>
        <row r="1742">
          <cell r="C1742">
            <v>7290</v>
          </cell>
          <cell r="D1742" t="str">
            <v>Macy</v>
          </cell>
          <cell r="E1742" t="str">
            <v>Partial Staff</v>
          </cell>
          <cell r="F1742" t="str">
            <v>Macys - Partial S</v>
          </cell>
          <cell r="G1742" t="str">
            <v>Macy</v>
          </cell>
          <cell r="H1742" t="str">
            <v>SG_06_01 Sun Glass Hut_Macys PS_OWNED</v>
          </cell>
          <cell r="I1742" t="str">
            <v>0000007290 University Square - Macy's</v>
          </cell>
          <cell r="J1742" t="str">
            <v>Department - PS</v>
          </cell>
          <cell r="K1742">
            <v>0</v>
          </cell>
        </row>
        <row r="1743">
          <cell r="C1743">
            <v>7296</v>
          </cell>
          <cell r="D1743" t="str">
            <v>Macy</v>
          </cell>
          <cell r="E1743" t="str">
            <v>Partial Staff</v>
          </cell>
          <cell r="F1743" t="str">
            <v>Macys - Partial S</v>
          </cell>
          <cell r="G1743" t="str">
            <v>Macy</v>
          </cell>
          <cell r="H1743" t="str">
            <v>SG_06_01 Sun Glass Hut_Macys PS_OWNED</v>
          </cell>
          <cell r="I1743" t="str">
            <v>0000007296 Eastland Mall - Macy's</v>
          </cell>
          <cell r="J1743" t="str">
            <v>Department - PS</v>
          </cell>
          <cell r="K1743">
            <v>0</v>
          </cell>
        </row>
        <row r="1744">
          <cell r="C1744">
            <v>7297</v>
          </cell>
          <cell r="D1744" t="str">
            <v>Macy</v>
          </cell>
          <cell r="E1744" t="str">
            <v>Partial Staff</v>
          </cell>
          <cell r="F1744" t="str">
            <v>Macys - Partial S</v>
          </cell>
          <cell r="G1744" t="str">
            <v>Macy</v>
          </cell>
          <cell r="H1744" t="str">
            <v>SG_06_01 Sun Glass Hut_Macys PS_OWNED</v>
          </cell>
          <cell r="I1744" t="str">
            <v>0000007297 Galleria Pittsburgh Mills - Ma</v>
          </cell>
          <cell r="J1744" t="str">
            <v>Department - PS</v>
          </cell>
          <cell r="K1744">
            <v>0</v>
          </cell>
        </row>
        <row r="1745">
          <cell r="C1745">
            <v>7298</v>
          </cell>
          <cell r="D1745" t="str">
            <v>Macy</v>
          </cell>
          <cell r="E1745" t="str">
            <v>Partial Staff</v>
          </cell>
          <cell r="F1745" t="str">
            <v>Macys - Partial S</v>
          </cell>
          <cell r="G1745" t="str">
            <v>Macy</v>
          </cell>
          <cell r="H1745" t="str">
            <v>SG_06_01 Sun Glass Hut_Macys PS_OWNED</v>
          </cell>
          <cell r="I1745" t="str">
            <v>0000007298 Fairfield Commons - Macy's</v>
          </cell>
          <cell r="J1745" t="str">
            <v>Department - PS</v>
          </cell>
          <cell r="K1745">
            <v>0</v>
          </cell>
        </row>
        <row r="1746">
          <cell r="C1746">
            <v>7305</v>
          </cell>
          <cell r="D1746" t="str">
            <v>Macy</v>
          </cell>
          <cell r="E1746" t="str">
            <v>Partial Staff</v>
          </cell>
          <cell r="F1746" t="str">
            <v>Macys - Partial S</v>
          </cell>
          <cell r="G1746" t="str">
            <v>Macy</v>
          </cell>
          <cell r="H1746" t="str">
            <v>SG_06_01 Sun Glass Hut_Macys PS_OWNED</v>
          </cell>
          <cell r="I1746" t="str">
            <v>0000007305 Tippecanoe Mall - Macy's</v>
          </cell>
          <cell r="J1746" t="str">
            <v>Department - PS</v>
          </cell>
          <cell r="K1746">
            <v>0</v>
          </cell>
        </row>
        <row r="1747">
          <cell r="C1747">
            <v>7306</v>
          </cell>
          <cell r="D1747" t="str">
            <v>Macy</v>
          </cell>
          <cell r="E1747" t="str">
            <v>Partial Staff</v>
          </cell>
          <cell r="F1747" t="str">
            <v>Macys - Partial S</v>
          </cell>
          <cell r="G1747" t="str">
            <v>Macy</v>
          </cell>
          <cell r="H1747" t="str">
            <v>SG_06_01 Sun Glass Hut_Macys PS_OWNED</v>
          </cell>
          <cell r="I1747" t="str">
            <v>0000007306 Glendale Town Center - Macy's</v>
          </cell>
          <cell r="J1747" t="str">
            <v>Department - PS</v>
          </cell>
          <cell r="K1747">
            <v>0</v>
          </cell>
        </row>
        <row r="1748">
          <cell r="C1748">
            <v>7311</v>
          </cell>
          <cell r="D1748" t="str">
            <v>Macy</v>
          </cell>
          <cell r="E1748" t="str">
            <v>Partial Staff</v>
          </cell>
          <cell r="F1748" t="str">
            <v>Macys - Partial S</v>
          </cell>
          <cell r="G1748" t="str">
            <v>Macy</v>
          </cell>
          <cell r="H1748" t="str">
            <v>SG_06_01 Sun Glass Hut_Macys PS_OWNED</v>
          </cell>
          <cell r="I1748" t="str">
            <v>0000007311 Metro North Mall - Macy's</v>
          </cell>
          <cell r="J1748" t="str">
            <v>Department - PS</v>
          </cell>
          <cell r="K1748">
            <v>0</v>
          </cell>
        </row>
        <row r="1749">
          <cell r="C1749">
            <v>7312</v>
          </cell>
          <cell r="D1749" t="str">
            <v>Macy</v>
          </cell>
          <cell r="E1749" t="str">
            <v>Partial Staff</v>
          </cell>
          <cell r="F1749" t="str">
            <v>Macys - Partial S</v>
          </cell>
          <cell r="G1749" t="str">
            <v>Macy</v>
          </cell>
          <cell r="H1749" t="str">
            <v>SG_06_01 Sun Glass Hut_Macys PS_OWNED</v>
          </cell>
          <cell r="I1749" t="str">
            <v>0000007312 Battlefield Mall - Macy's</v>
          </cell>
          <cell r="J1749" t="str">
            <v>Department - PS</v>
          </cell>
          <cell r="K1749">
            <v>0</v>
          </cell>
        </row>
        <row r="1750">
          <cell r="C1750">
            <v>7313</v>
          </cell>
          <cell r="D1750" t="str">
            <v>Macy</v>
          </cell>
          <cell r="E1750" t="str">
            <v>Partial Staff</v>
          </cell>
          <cell r="F1750" t="str">
            <v>Macys - Partial S</v>
          </cell>
          <cell r="G1750" t="str">
            <v>Macy</v>
          </cell>
          <cell r="H1750" t="str">
            <v>SG_06_01 Sun Glass Hut_Macys PS_OWNED</v>
          </cell>
          <cell r="I1750" t="str">
            <v>0000007313 Northpark Mall - Macy's</v>
          </cell>
          <cell r="J1750" t="str">
            <v>Department - PS</v>
          </cell>
          <cell r="K1750">
            <v>0</v>
          </cell>
        </row>
        <row r="1751">
          <cell r="C1751">
            <v>7319</v>
          </cell>
          <cell r="D1751" t="str">
            <v>Macy</v>
          </cell>
          <cell r="E1751" t="str">
            <v>Partial Staff</v>
          </cell>
          <cell r="F1751" t="str">
            <v>Macys - Partial S</v>
          </cell>
          <cell r="G1751" t="str">
            <v>Macy</v>
          </cell>
          <cell r="H1751" t="str">
            <v>SG_06_01 Sun Glass Hut_Macys PS_OWNED</v>
          </cell>
          <cell r="I1751" t="str">
            <v>0000007319 Southern Park Mall - Macy's</v>
          </cell>
          <cell r="J1751" t="str">
            <v>Department - PS</v>
          </cell>
          <cell r="K1751">
            <v>0</v>
          </cell>
        </row>
        <row r="1752">
          <cell r="C1752">
            <v>7320</v>
          </cell>
          <cell r="D1752" t="str">
            <v>Macy</v>
          </cell>
          <cell r="E1752" t="str">
            <v>Partial Staff</v>
          </cell>
          <cell r="F1752" t="str">
            <v>Macys - Partial S</v>
          </cell>
          <cell r="G1752" t="str">
            <v>Macy</v>
          </cell>
          <cell r="H1752" t="str">
            <v>SG_06_01 Sun Glass Hut_Macys PS_OWNED</v>
          </cell>
          <cell r="I1752" t="str">
            <v>0000007320 Millcreek Mall - Macy's</v>
          </cell>
          <cell r="J1752" t="str">
            <v>Department - PS</v>
          </cell>
          <cell r="K1752">
            <v>0</v>
          </cell>
        </row>
        <row r="1753">
          <cell r="C1753">
            <v>7326</v>
          </cell>
          <cell r="D1753" t="str">
            <v>Macy</v>
          </cell>
          <cell r="E1753" t="str">
            <v>Partial Staff</v>
          </cell>
          <cell r="F1753" t="str">
            <v>Macys - Partial S</v>
          </cell>
          <cell r="G1753" t="str">
            <v>Macy</v>
          </cell>
          <cell r="H1753" t="str">
            <v>SG_06_01 Sun Glass Hut_Macys PS_OWNED</v>
          </cell>
          <cell r="I1753" t="str">
            <v>0000007326 Century III Mall - Macy's</v>
          </cell>
          <cell r="J1753" t="str">
            <v>Department - PS</v>
          </cell>
          <cell r="K1753">
            <v>0</v>
          </cell>
        </row>
        <row r="1754">
          <cell r="C1754">
            <v>7327</v>
          </cell>
          <cell r="D1754" t="str">
            <v>Macy</v>
          </cell>
          <cell r="E1754" t="str">
            <v>Partial Staff</v>
          </cell>
          <cell r="F1754" t="str">
            <v>Macys - Partial S</v>
          </cell>
          <cell r="G1754" t="str">
            <v>Macy</v>
          </cell>
          <cell r="H1754" t="str">
            <v>SG_06_01 Sun Glass Hut_Macys PS_OWNED</v>
          </cell>
          <cell r="I1754" t="str">
            <v>0000007327 Viewmont Mall - Macy's</v>
          </cell>
          <cell r="J1754" t="str">
            <v>Department - PS</v>
          </cell>
          <cell r="K1754">
            <v>0</v>
          </cell>
        </row>
        <row r="1755">
          <cell r="C1755">
            <v>7335</v>
          </cell>
          <cell r="D1755" t="str">
            <v>Macy</v>
          </cell>
          <cell r="E1755" t="str">
            <v>Partial Staff</v>
          </cell>
          <cell r="F1755" t="str">
            <v>Macys - Partial S</v>
          </cell>
          <cell r="G1755" t="str">
            <v>Macy</v>
          </cell>
          <cell r="H1755" t="str">
            <v>SG_06_01 Sun Glass Hut_Macys PS_OWNED</v>
          </cell>
          <cell r="I1755" t="str">
            <v>0000007335 White Oaks Mall - Macy's</v>
          </cell>
          <cell r="J1755" t="str">
            <v>Department - PS</v>
          </cell>
          <cell r="K1755">
            <v>0</v>
          </cell>
        </row>
        <row r="1756">
          <cell r="C1756">
            <v>7336</v>
          </cell>
          <cell r="D1756" t="str">
            <v>Macy</v>
          </cell>
          <cell r="E1756" t="str">
            <v>Partial Staff</v>
          </cell>
          <cell r="F1756" t="str">
            <v>Macys - Partial S</v>
          </cell>
          <cell r="G1756" t="str">
            <v>Macy</v>
          </cell>
          <cell r="H1756" t="str">
            <v>SG_06_01 Sun Glass Hut_Macys PS_OWNED</v>
          </cell>
          <cell r="I1756" t="str">
            <v>0000007336 Northwoods Mall - Macy's</v>
          </cell>
          <cell r="J1756" t="str">
            <v>Department - PS</v>
          </cell>
          <cell r="K1756">
            <v>0</v>
          </cell>
        </row>
        <row r="1757">
          <cell r="C1757">
            <v>7341</v>
          </cell>
          <cell r="D1757" t="str">
            <v>Macy</v>
          </cell>
          <cell r="E1757" t="str">
            <v>Partial Staff</v>
          </cell>
          <cell r="F1757" t="str">
            <v>Macys - Partial S</v>
          </cell>
          <cell r="G1757" t="str">
            <v>Macy</v>
          </cell>
          <cell r="H1757" t="str">
            <v>SG_06_01 Sun Glass Hut_Macys PS_OWNED</v>
          </cell>
          <cell r="I1757" t="str">
            <v>0000007341 West Park Mall - Macy's</v>
          </cell>
          <cell r="J1757" t="str">
            <v>Department - PS</v>
          </cell>
          <cell r="K1757">
            <v>0</v>
          </cell>
        </row>
        <row r="1758">
          <cell r="C1758">
            <v>2515</v>
          </cell>
          <cell r="D1758" t="str">
            <v>Macy</v>
          </cell>
          <cell r="E1758" t="str">
            <v>Macy Staff</v>
          </cell>
          <cell r="F1758" t="str">
            <v>Macys - Staff</v>
          </cell>
          <cell r="G1758" t="str">
            <v>Macy</v>
          </cell>
          <cell r="H1758" t="str">
            <v>SG_07_01 Sun Glass Hut_Macys S_OWNED</v>
          </cell>
          <cell r="I1758" t="str">
            <v>0000002515 Crossroads Center - Macy's</v>
          </cell>
          <cell r="J1758" t="str">
            <v>Department - MS</v>
          </cell>
          <cell r="K1758">
            <v>0</v>
          </cell>
        </row>
        <row r="1759">
          <cell r="C1759">
            <v>2522</v>
          </cell>
          <cell r="D1759" t="str">
            <v>Macy</v>
          </cell>
          <cell r="E1759" t="str">
            <v>Macy Staff</v>
          </cell>
          <cell r="F1759" t="str">
            <v>Macys - Staff</v>
          </cell>
          <cell r="G1759" t="str">
            <v>Macy</v>
          </cell>
          <cell r="H1759" t="str">
            <v>SG_07_01 Sun Glass Hut_Macys S_OWNED</v>
          </cell>
          <cell r="I1759" t="str">
            <v>0000002522 West Valley Mall - Macy's</v>
          </cell>
          <cell r="J1759" t="str">
            <v>Department - MS</v>
          </cell>
          <cell r="K1759">
            <v>0</v>
          </cell>
        </row>
        <row r="1760">
          <cell r="C1760">
            <v>2820</v>
          </cell>
          <cell r="D1760" t="str">
            <v>Macy</v>
          </cell>
          <cell r="E1760" t="str">
            <v>Macy Staff</v>
          </cell>
          <cell r="F1760" t="str">
            <v>Macys - Staff</v>
          </cell>
          <cell r="G1760" t="str">
            <v>Macy</v>
          </cell>
          <cell r="H1760" t="str">
            <v>SG_07_01 Sun Glass Hut_Macys S_OWNED</v>
          </cell>
          <cell r="I1760" t="str">
            <v>0000002820 Seminole Towne Center - Macy's</v>
          </cell>
          <cell r="J1760" t="str">
            <v>Department - MS</v>
          </cell>
          <cell r="K1760">
            <v>0</v>
          </cell>
        </row>
        <row r="1761">
          <cell r="C1761">
            <v>2836</v>
          </cell>
          <cell r="D1761" t="str">
            <v>Macy</v>
          </cell>
          <cell r="E1761" t="str">
            <v>Macy Staff</v>
          </cell>
          <cell r="F1761" t="str">
            <v>Macys - Staff</v>
          </cell>
          <cell r="G1761" t="str">
            <v>Macy</v>
          </cell>
          <cell r="H1761" t="str">
            <v>SG_07_01 Sun Glass Hut_Macys S_OWNED</v>
          </cell>
          <cell r="I1761" t="str">
            <v>0000002836 Lakeland Square Mall - Macy's</v>
          </cell>
          <cell r="J1761" t="str">
            <v>Department - MS</v>
          </cell>
          <cell r="K1761">
            <v>0</v>
          </cell>
        </row>
        <row r="1762">
          <cell r="C1762">
            <v>2837</v>
          </cell>
          <cell r="D1762" t="str">
            <v>Macy</v>
          </cell>
          <cell r="E1762" t="str">
            <v>Macy Staff</v>
          </cell>
          <cell r="F1762" t="str">
            <v>Macys - Staff</v>
          </cell>
          <cell r="G1762" t="str">
            <v>Macy</v>
          </cell>
          <cell r="H1762" t="str">
            <v>SG_07_01 Sun Glass Hut_Macys S_OWNED</v>
          </cell>
          <cell r="I1762" t="str">
            <v>0000002837 Paddock Mall - Macy's</v>
          </cell>
          <cell r="J1762" t="str">
            <v>Department - MS</v>
          </cell>
          <cell r="K1762">
            <v>0</v>
          </cell>
        </row>
        <row r="1763">
          <cell r="C1763">
            <v>2838</v>
          </cell>
          <cell r="D1763" t="str">
            <v>Macy</v>
          </cell>
          <cell r="E1763" t="str">
            <v>Macy Staff</v>
          </cell>
          <cell r="F1763" t="str">
            <v>Macys - Staff</v>
          </cell>
          <cell r="G1763" t="str">
            <v>Macy</v>
          </cell>
          <cell r="H1763" t="str">
            <v>SG_07_01 Sun Glass Hut_Macys S_OWNED</v>
          </cell>
          <cell r="I1763" t="str">
            <v>0000002838 Gulf View Square - Macy's</v>
          </cell>
          <cell r="J1763" t="str">
            <v>Department - MS</v>
          </cell>
          <cell r="K1763">
            <v>0</v>
          </cell>
        </row>
        <row r="1764">
          <cell r="C1764">
            <v>2839</v>
          </cell>
          <cell r="D1764" t="str">
            <v>Macy</v>
          </cell>
          <cell r="E1764" t="str">
            <v>Macy Staff</v>
          </cell>
          <cell r="F1764" t="str">
            <v>Macys - Staff</v>
          </cell>
          <cell r="G1764" t="str">
            <v>Macy</v>
          </cell>
          <cell r="H1764" t="str">
            <v>SG_07_01 Sun Glass Hut_Macys S_OWNED</v>
          </cell>
          <cell r="I1764" t="str">
            <v>0000002839 Winter Haven - Macy's</v>
          </cell>
          <cell r="J1764" t="str">
            <v>Department - MS</v>
          </cell>
          <cell r="K1764">
            <v>0</v>
          </cell>
        </row>
        <row r="1765">
          <cell r="C1765">
            <v>2843</v>
          </cell>
          <cell r="D1765" t="str">
            <v>Macy</v>
          </cell>
          <cell r="E1765" t="str">
            <v>Macy Staff</v>
          </cell>
          <cell r="F1765" t="str">
            <v>Macys - Staff</v>
          </cell>
          <cell r="G1765" t="str">
            <v>Macy</v>
          </cell>
          <cell r="H1765" t="str">
            <v>SG_07_01 Sun Glass Hut_Macys S_OWNED</v>
          </cell>
          <cell r="I1765" t="str">
            <v>0000002843 Indian River Mall - Macy's</v>
          </cell>
          <cell r="J1765" t="str">
            <v>Department - MS</v>
          </cell>
          <cell r="K1765">
            <v>0</v>
          </cell>
        </row>
        <row r="1766">
          <cell r="C1766">
            <v>3560</v>
          </cell>
          <cell r="D1766" t="str">
            <v>Macy</v>
          </cell>
          <cell r="E1766" t="str">
            <v>Macy Staff</v>
          </cell>
          <cell r="F1766" t="str">
            <v>Macys - Staff</v>
          </cell>
          <cell r="G1766" t="str">
            <v>Macy</v>
          </cell>
          <cell r="H1766" t="str">
            <v>SG_07_01 Sun Glass Hut_Macys S_OWNED</v>
          </cell>
          <cell r="I1766" t="str">
            <v>0000003560 Oviedo - Macy's</v>
          </cell>
          <cell r="J1766" t="str">
            <v>Department - MS</v>
          </cell>
          <cell r="K1766">
            <v>0</v>
          </cell>
        </row>
        <row r="1767">
          <cell r="C1767">
            <v>5163</v>
          </cell>
          <cell r="D1767" t="str">
            <v>Macy</v>
          </cell>
          <cell r="E1767" t="str">
            <v>Macy Staff</v>
          </cell>
          <cell r="F1767" t="str">
            <v>Macys - Staff</v>
          </cell>
          <cell r="G1767" t="str">
            <v>Macy</v>
          </cell>
          <cell r="H1767" t="str">
            <v>SG_07_01 Sun Glass Hut_Macys S_OWNED</v>
          </cell>
          <cell r="I1767" t="str">
            <v>0000005163 Columbia Mall - Macy's</v>
          </cell>
          <cell r="J1767" t="str">
            <v>Department - MS</v>
          </cell>
          <cell r="K1767">
            <v>0</v>
          </cell>
        </row>
        <row r="1768">
          <cell r="C1768">
            <v>5410</v>
          </cell>
          <cell r="D1768" t="str">
            <v>Macy</v>
          </cell>
          <cell r="E1768" t="str">
            <v>Macy Staff</v>
          </cell>
          <cell r="F1768" t="str">
            <v>Macys - Staff</v>
          </cell>
          <cell r="G1768" t="str">
            <v>Macy</v>
          </cell>
          <cell r="H1768" t="str">
            <v>SG_07_01 Sun Glass Hut_Macys S_OWNED</v>
          </cell>
          <cell r="I1768" t="str">
            <v>0000005410 North Dekalb Mall - Macy's</v>
          </cell>
          <cell r="J1768" t="str">
            <v>Department - MS</v>
          </cell>
        </row>
        <row r="1769">
          <cell r="C1769">
            <v>5413</v>
          </cell>
          <cell r="D1769" t="str">
            <v>Macy</v>
          </cell>
          <cell r="E1769" t="str">
            <v>Macy Staff</v>
          </cell>
          <cell r="F1769" t="str">
            <v>Macys - Staff</v>
          </cell>
          <cell r="G1769" t="str">
            <v>Macy</v>
          </cell>
          <cell r="H1769" t="str">
            <v>SG_07_01 Sun Glass Hut_Macys S_OWNED</v>
          </cell>
          <cell r="I1769" t="str">
            <v>0000005413 Greenbriar Mall - Macy's</v>
          </cell>
          <cell r="J1769" t="str">
            <v>Department - MS</v>
          </cell>
        </row>
        <row r="1770">
          <cell r="C1770">
            <v>5414</v>
          </cell>
          <cell r="D1770" t="str">
            <v>Macy</v>
          </cell>
          <cell r="E1770" t="str">
            <v>Macy Staff</v>
          </cell>
          <cell r="F1770" t="str">
            <v>Macys - Staff</v>
          </cell>
          <cell r="G1770" t="str">
            <v>Macy</v>
          </cell>
          <cell r="H1770" t="str">
            <v>SG_07_01 Sun Glass Hut_Macys S_OWNED</v>
          </cell>
          <cell r="I1770" t="str">
            <v>0000005414 Gallery at South Dekalb - Macy</v>
          </cell>
          <cell r="J1770" t="str">
            <v>Department - MS</v>
          </cell>
        </row>
        <row r="1771">
          <cell r="C1771">
            <v>5418</v>
          </cell>
          <cell r="D1771" t="str">
            <v>Macy</v>
          </cell>
          <cell r="E1771" t="str">
            <v>Macy Staff</v>
          </cell>
          <cell r="F1771" t="str">
            <v>Macys - Staff</v>
          </cell>
          <cell r="G1771" t="str">
            <v>Macy</v>
          </cell>
          <cell r="H1771" t="str">
            <v>SG_07_01 Sun Glass Hut_Macys S_OWNED</v>
          </cell>
          <cell r="I1771" t="str">
            <v>0000005418 Macon Mall - Macy's</v>
          </cell>
          <cell r="J1771" t="str">
            <v>Department - MS</v>
          </cell>
        </row>
        <row r="1772">
          <cell r="C1772">
            <v>5426</v>
          </cell>
          <cell r="D1772" t="str">
            <v>Macy</v>
          </cell>
          <cell r="E1772" t="str">
            <v>Macy Staff</v>
          </cell>
          <cell r="F1772" t="str">
            <v>Macys - Staff</v>
          </cell>
          <cell r="G1772" t="str">
            <v>Macy</v>
          </cell>
          <cell r="H1772" t="str">
            <v>SG_07_01 Sun Glass Hut_Macys S_OWNED</v>
          </cell>
          <cell r="I1772" t="str">
            <v>0000005426 Greenspoint Mall - Macy's</v>
          </cell>
          <cell r="J1772" t="str">
            <v>Department - MS</v>
          </cell>
        </row>
        <row r="1773">
          <cell r="C1773">
            <v>5491</v>
          </cell>
          <cell r="D1773" t="str">
            <v>Macy</v>
          </cell>
          <cell r="E1773" t="str">
            <v>Macy Staff</v>
          </cell>
          <cell r="F1773" t="str">
            <v>Macys - Staff</v>
          </cell>
          <cell r="G1773" t="str">
            <v>Macy</v>
          </cell>
          <cell r="H1773" t="str">
            <v>SG_07_01 Sun Glass Hut_Macys S_OWNED</v>
          </cell>
          <cell r="I1773" t="str">
            <v>0000005491 Hanes Mall - Macy's</v>
          </cell>
          <cell r="J1773" t="str">
            <v>Department - MS</v>
          </cell>
        </row>
        <row r="1774">
          <cell r="C1774">
            <v>5493</v>
          </cell>
          <cell r="D1774" t="str">
            <v>Macy</v>
          </cell>
          <cell r="E1774" t="str">
            <v>Macy Staff</v>
          </cell>
          <cell r="F1774" t="str">
            <v>Macys - Staff</v>
          </cell>
          <cell r="G1774" t="str">
            <v>Macy</v>
          </cell>
          <cell r="H1774" t="str">
            <v>SG_07_01 Sun Glass Hut_Macys S_OWNED</v>
          </cell>
          <cell r="I1774" t="str">
            <v>0000005493 Triangle Town Center - Macy's</v>
          </cell>
          <cell r="J1774" t="str">
            <v>Department - MS</v>
          </cell>
        </row>
        <row r="1775">
          <cell r="C1775">
            <v>5496</v>
          </cell>
          <cell r="D1775" t="str">
            <v>Macy</v>
          </cell>
          <cell r="E1775" t="str">
            <v>Macy Staff</v>
          </cell>
          <cell r="F1775" t="str">
            <v>Macys - Staff</v>
          </cell>
          <cell r="G1775" t="str">
            <v>Macy</v>
          </cell>
          <cell r="H1775" t="str">
            <v>SG_07_01 Sun Glass Hut_Macys S_OWNED</v>
          </cell>
          <cell r="I1775" t="str">
            <v>0000005496 Southwest Center Mall - Macy's</v>
          </cell>
          <cell r="J1775" t="str">
            <v>Department - MS</v>
          </cell>
        </row>
        <row r="1776">
          <cell r="C1776">
            <v>5502</v>
          </cell>
          <cell r="D1776" t="str">
            <v>Macy</v>
          </cell>
          <cell r="E1776" t="str">
            <v>Macy Staff</v>
          </cell>
          <cell r="F1776" t="str">
            <v>Macys - Staff</v>
          </cell>
          <cell r="G1776" t="str">
            <v>Macy</v>
          </cell>
          <cell r="H1776" t="str">
            <v>SG_07_01 Sun Glass Hut_Macys S_OWNED</v>
          </cell>
          <cell r="I1776" t="str">
            <v>0000005502 Chesapeake Square - Macy's</v>
          </cell>
          <cell r="J1776" t="str">
            <v>Department - MS</v>
          </cell>
        </row>
        <row r="1777">
          <cell r="C1777">
            <v>5503</v>
          </cell>
          <cell r="D1777" t="str">
            <v>Macy</v>
          </cell>
          <cell r="E1777" t="str">
            <v>Macy Staff</v>
          </cell>
          <cell r="F1777" t="str">
            <v>Macys - Staff</v>
          </cell>
          <cell r="G1777" t="str">
            <v>Macy</v>
          </cell>
          <cell r="H1777" t="str">
            <v>SG_07_01 Sun Glass Hut_Macys S_OWNED</v>
          </cell>
          <cell r="I1777" t="str">
            <v>0000005503 Gallery at Military Circle - M</v>
          </cell>
          <cell r="J1777" t="str">
            <v>Department - MS</v>
          </cell>
        </row>
        <row r="1778">
          <cell r="C1778">
            <v>5504</v>
          </cell>
          <cell r="D1778" t="str">
            <v>Macy</v>
          </cell>
          <cell r="E1778" t="str">
            <v>Macy Staff</v>
          </cell>
          <cell r="F1778" t="str">
            <v>Macys - Staff</v>
          </cell>
          <cell r="G1778" t="str">
            <v>Macy</v>
          </cell>
          <cell r="H1778" t="str">
            <v>SG_07_01 Sun Glass Hut_Macys S_OWNED</v>
          </cell>
          <cell r="I1778" t="str">
            <v>0000005504 Coliseum Mall - Macy's</v>
          </cell>
          <cell r="J1778" t="str">
            <v>Department - MS</v>
          </cell>
        </row>
        <row r="1779">
          <cell r="C1779">
            <v>5505</v>
          </cell>
          <cell r="D1779" t="str">
            <v>Macy</v>
          </cell>
          <cell r="E1779" t="str">
            <v>Macy Staff</v>
          </cell>
          <cell r="F1779" t="str">
            <v>Macys - Staff</v>
          </cell>
          <cell r="G1779" t="str">
            <v>Macy</v>
          </cell>
          <cell r="H1779" t="str">
            <v>SG_07_01 Sun Glass Hut_Macys S_OWNED</v>
          </cell>
          <cell r="I1779" t="str">
            <v>0000005505 Virginia Center Commons - Macy</v>
          </cell>
          <cell r="J1779" t="str">
            <v>Department - MS</v>
          </cell>
        </row>
        <row r="1780">
          <cell r="C1780">
            <v>5508</v>
          </cell>
          <cell r="D1780" t="str">
            <v>Macy</v>
          </cell>
          <cell r="E1780" t="str">
            <v>Macy Staff</v>
          </cell>
          <cell r="F1780" t="str">
            <v>Macys - Staff</v>
          </cell>
          <cell r="G1780" t="str">
            <v>Macy</v>
          </cell>
          <cell r="H1780" t="str">
            <v>SG_07_01 Sun Glass Hut_Macys S_OWNED</v>
          </cell>
          <cell r="I1780" t="str">
            <v>0000005508 Jefferson Mall - Macy's</v>
          </cell>
          <cell r="J1780" t="str">
            <v>Department - MS</v>
          </cell>
        </row>
        <row r="1781">
          <cell r="C1781">
            <v>5509</v>
          </cell>
          <cell r="D1781" t="str">
            <v>Macy</v>
          </cell>
          <cell r="E1781" t="str">
            <v>Macy Staff</v>
          </cell>
          <cell r="F1781" t="str">
            <v>Macys - Staff</v>
          </cell>
          <cell r="G1781" t="str">
            <v>Macy</v>
          </cell>
          <cell r="H1781" t="str">
            <v>SG_07_01 Sun Glass Hut_Macys S_OWNED</v>
          </cell>
          <cell r="I1781" t="str">
            <v>0000005509 Cortana Mall - Macy's</v>
          </cell>
          <cell r="J1781" t="str">
            <v>Department - MS</v>
          </cell>
        </row>
        <row r="1782">
          <cell r="C1782">
            <v>5512</v>
          </cell>
          <cell r="D1782" t="str">
            <v>Macy</v>
          </cell>
          <cell r="E1782" t="str">
            <v>Macy Staff</v>
          </cell>
          <cell r="F1782" t="str">
            <v>Macys - Staff</v>
          </cell>
          <cell r="G1782" t="str">
            <v>Macy</v>
          </cell>
          <cell r="H1782" t="str">
            <v>SG_07_01 Sun Glass Hut_Macys S_OWNED</v>
          </cell>
          <cell r="I1782" t="str">
            <v>0000005512 Cary Towne Center - Macy's</v>
          </cell>
          <cell r="J1782" t="str">
            <v>Department - MS</v>
          </cell>
        </row>
        <row r="1783">
          <cell r="C1783">
            <v>5515</v>
          </cell>
          <cell r="D1783" t="str">
            <v>Macy</v>
          </cell>
          <cell r="E1783" t="str">
            <v>Macy Staff</v>
          </cell>
          <cell r="F1783" t="str">
            <v>Macys - Staff</v>
          </cell>
          <cell r="G1783" t="str">
            <v>Macy</v>
          </cell>
          <cell r="H1783" t="str">
            <v>SG_07_01 Sun Glass Hut_Macys S_OWNED</v>
          </cell>
          <cell r="I1783" t="str">
            <v>0000005515 Quail Springs Mall - Macy's</v>
          </cell>
          <cell r="J1783" t="str">
            <v>Department - MS</v>
          </cell>
        </row>
        <row r="1784">
          <cell r="C1784">
            <v>5516</v>
          </cell>
          <cell r="D1784" t="str">
            <v>Macy</v>
          </cell>
          <cell r="E1784" t="str">
            <v>Macy Staff</v>
          </cell>
          <cell r="F1784" t="str">
            <v>Macys - Staff</v>
          </cell>
          <cell r="G1784" t="str">
            <v>Macy</v>
          </cell>
          <cell r="H1784" t="str">
            <v>SG_07_01 Sun Glass Hut_Macys S_OWNED</v>
          </cell>
          <cell r="I1784" t="str">
            <v>0000005516 Tulsa Promenade - Macy's</v>
          </cell>
          <cell r="J1784" t="str">
            <v>Department - MS</v>
          </cell>
        </row>
        <row r="1785">
          <cell r="C1785">
            <v>5517</v>
          </cell>
          <cell r="D1785" t="str">
            <v>Macy</v>
          </cell>
          <cell r="E1785" t="str">
            <v>Macy Staff</v>
          </cell>
          <cell r="F1785" t="str">
            <v>Macys - Staff</v>
          </cell>
          <cell r="G1785" t="str">
            <v>Macy</v>
          </cell>
          <cell r="H1785" t="str">
            <v>SG_07_01 Sun Glass Hut_Macys S_OWNED</v>
          </cell>
          <cell r="I1785" t="str">
            <v>0000005517 Southland Mall</v>
          </cell>
          <cell r="J1785" t="str">
            <v>Department - MS</v>
          </cell>
        </row>
        <row r="1786">
          <cell r="C1786">
            <v>5523</v>
          </cell>
          <cell r="D1786" t="str">
            <v>Macy</v>
          </cell>
          <cell r="E1786" t="str">
            <v>Macy Staff</v>
          </cell>
          <cell r="F1786" t="str">
            <v>Macys - Staff</v>
          </cell>
          <cell r="G1786" t="str">
            <v>Macy</v>
          </cell>
          <cell r="H1786" t="str">
            <v>SG_07_01 Sun Glass Hut_Macys S_OWNED</v>
          </cell>
          <cell r="I1786" t="str">
            <v>0000005523 River Ridge Mall - Macy's</v>
          </cell>
          <cell r="J1786" t="str">
            <v>Department - MS</v>
          </cell>
        </row>
        <row r="1787">
          <cell r="C1787">
            <v>5978</v>
          </cell>
          <cell r="D1787" t="str">
            <v>Macy</v>
          </cell>
          <cell r="E1787" t="str">
            <v>Macy Staff</v>
          </cell>
          <cell r="F1787" t="str">
            <v>Macys - Staff</v>
          </cell>
          <cell r="G1787" t="str">
            <v>Macy</v>
          </cell>
          <cell r="H1787" t="str">
            <v>SG_07_01 Sun Glass Hut_Macys S_OWNED</v>
          </cell>
          <cell r="I1787" t="str">
            <v>0000005978 Baldwin Hills Crenshaw - Macy'</v>
          </cell>
          <cell r="J1787" t="str">
            <v>Department - MS</v>
          </cell>
        </row>
        <row r="1788">
          <cell r="C1788">
            <v>5986</v>
          </cell>
          <cell r="D1788" t="str">
            <v>Macy</v>
          </cell>
          <cell r="E1788" t="str">
            <v>Macy Staff</v>
          </cell>
          <cell r="F1788" t="str">
            <v>Macys - Staff</v>
          </cell>
          <cell r="G1788" t="str">
            <v>Macy</v>
          </cell>
          <cell r="H1788" t="str">
            <v>SG_07_01 Sun Glass Hut_Macys S_OWNED</v>
          </cell>
          <cell r="I1788" t="str">
            <v>0000005986 Makalapua Center - Macy's</v>
          </cell>
          <cell r="J1788" t="str">
            <v>Department - MS</v>
          </cell>
        </row>
        <row r="1789">
          <cell r="C1789">
            <v>5988</v>
          </cell>
          <cell r="D1789" t="str">
            <v>Macy</v>
          </cell>
          <cell r="E1789" t="str">
            <v>Macy Staff</v>
          </cell>
          <cell r="F1789" t="str">
            <v>Macys - Staff</v>
          </cell>
          <cell r="G1789" t="str">
            <v>Macy</v>
          </cell>
          <cell r="H1789" t="str">
            <v>SG_07_01 Sun Glass Hut_Macys S_OWNED</v>
          </cell>
          <cell r="I1789" t="str">
            <v>0000005988 Sunnyvale Town Center - Macy's</v>
          </cell>
          <cell r="J1789" t="str">
            <v>Department - MS</v>
          </cell>
        </row>
        <row r="1790">
          <cell r="C1790">
            <v>5989</v>
          </cell>
          <cell r="D1790" t="str">
            <v>Macy</v>
          </cell>
          <cell r="E1790" t="str">
            <v>Macy Staff</v>
          </cell>
          <cell r="F1790" t="str">
            <v>Macys - Staff</v>
          </cell>
          <cell r="G1790" t="str">
            <v>Macy</v>
          </cell>
          <cell r="H1790" t="str">
            <v>SG_07_01 Sun Glass Hut_Macys S_OWNED</v>
          </cell>
          <cell r="I1790" t="str">
            <v>0000005989 Foothills Mall - Macy's</v>
          </cell>
          <cell r="J1790" t="str">
            <v>Department - MS</v>
          </cell>
        </row>
        <row r="1791">
          <cell r="C1791">
            <v>5991</v>
          </cell>
          <cell r="D1791" t="str">
            <v>Macy</v>
          </cell>
          <cell r="E1791" t="str">
            <v>Macy Staff</v>
          </cell>
          <cell r="F1791" t="str">
            <v>Macys - Staff</v>
          </cell>
          <cell r="G1791" t="str">
            <v>Macy</v>
          </cell>
          <cell r="H1791" t="str">
            <v>SG_07_01 Sun Glass Hut_Macys S_OWNED</v>
          </cell>
          <cell r="I1791" t="str">
            <v>0000005991 Mt Shasta Mall - Macy's</v>
          </cell>
          <cell r="J1791" t="str">
            <v>Department - MS</v>
          </cell>
        </row>
        <row r="1792">
          <cell r="C1792">
            <v>5992</v>
          </cell>
          <cell r="D1792" t="str">
            <v>Macy</v>
          </cell>
          <cell r="E1792" t="str">
            <v>Macy Staff</v>
          </cell>
          <cell r="F1792" t="str">
            <v>Macys - Staff</v>
          </cell>
          <cell r="G1792" t="str">
            <v>Macy</v>
          </cell>
          <cell r="H1792" t="str">
            <v>SG_07_01 Sun Glass Hut_Macys S_OWNED</v>
          </cell>
          <cell r="I1792" t="str">
            <v>0000005992 Superstition Springs Ctr - Mac</v>
          </cell>
          <cell r="J1792" t="str">
            <v>Department - MS</v>
          </cell>
        </row>
        <row r="1793">
          <cell r="C1793">
            <v>5993</v>
          </cell>
          <cell r="D1793" t="str">
            <v>Macy</v>
          </cell>
          <cell r="E1793" t="str">
            <v>Macy Staff</v>
          </cell>
          <cell r="F1793" t="str">
            <v>Macys - Staff</v>
          </cell>
          <cell r="G1793" t="str">
            <v>Macy</v>
          </cell>
          <cell r="H1793" t="str">
            <v>SG_07_01 Sun Glass Hut_Macys S_OWNED</v>
          </cell>
          <cell r="I1793" t="str">
            <v>0000005993 Vallco Shopping Mall - Macy's</v>
          </cell>
          <cell r="J1793" t="str">
            <v>Department - MS</v>
          </cell>
        </row>
        <row r="1794">
          <cell r="C1794">
            <v>5994</v>
          </cell>
          <cell r="D1794" t="str">
            <v>Macy</v>
          </cell>
          <cell r="E1794" t="str">
            <v>Macy Staff</v>
          </cell>
          <cell r="F1794" t="str">
            <v>Macys - Staff</v>
          </cell>
          <cell r="G1794" t="str">
            <v>Macy</v>
          </cell>
          <cell r="H1794" t="str">
            <v>SG_07_01 Sun Glass Hut_Macys S_OWNED</v>
          </cell>
          <cell r="I1794" t="str">
            <v>0000005994 Somersville Towne Center - Mac</v>
          </cell>
          <cell r="J1794" t="str">
            <v>Department - MS</v>
          </cell>
        </row>
        <row r="1795">
          <cell r="C1795">
            <v>5995</v>
          </cell>
          <cell r="D1795" t="str">
            <v>Macy</v>
          </cell>
          <cell r="E1795" t="str">
            <v>Macy Staff</v>
          </cell>
          <cell r="F1795" t="str">
            <v>Macys - Staff</v>
          </cell>
          <cell r="G1795" t="str">
            <v>Macy</v>
          </cell>
          <cell r="H1795" t="str">
            <v>SG_07_01 Sun Glass Hut_Macys S_OWNED</v>
          </cell>
          <cell r="I1795" t="str">
            <v>0000005995 29th St Promenade - Macy's</v>
          </cell>
          <cell r="J1795" t="str">
            <v>Department - MS</v>
          </cell>
        </row>
        <row r="1796">
          <cell r="C1796">
            <v>5997</v>
          </cell>
          <cell r="D1796" t="str">
            <v>Macy</v>
          </cell>
          <cell r="E1796" t="str">
            <v>Macy Staff</v>
          </cell>
          <cell r="F1796" t="str">
            <v>Macys - Staff</v>
          </cell>
          <cell r="G1796" t="str">
            <v>Macy</v>
          </cell>
          <cell r="H1796" t="str">
            <v>SG_07_01 Sun Glass Hut_Macys S_OWNED</v>
          </cell>
          <cell r="I1796" t="str">
            <v>0000005997 Town Center at Aurora - Macy's</v>
          </cell>
          <cell r="J1796" t="str">
            <v>Department - MS</v>
          </cell>
        </row>
        <row r="1797">
          <cell r="C1797">
            <v>5998</v>
          </cell>
          <cell r="D1797" t="str">
            <v>Macy</v>
          </cell>
          <cell r="E1797" t="str">
            <v>Macy Staff</v>
          </cell>
          <cell r="F1797" t="str">
            <v>Macys - Staff</v>
          </cell>
          <cell r="G1797" t="str">
            <v>Macy</v>
          </cell>
          <cell r="H1797" t="str">
            <v>SG_07_01 Sun Glass Hut_Macys S_OWNED</v>
          </cell>
          <cell r="I1797" t="str">
            <v>0000005998 Wenatchee Valley Mall - Macy's</v>
          </cell>
          <cell r="J1797" t="str">
            <v>Department - MS</v>
          </cell>
        </row>
        <row r="1798">
          <cell r="C1798">
            <v>6002</v>
          </cell>
          <cell r="D1798" t="str">
            <v>Macy</v>
          </cell>
          <cell r="E1798" t="str">
            <v>Macy Staff</v>
          </cell>
          <cell r="F1798" t="str">
            <v>Macys - Staff</v>
          </cell>
          <cell r="G1798" t="str">
            <v>Macy</v>
          </cell>
          <cell r="H1798" t="str">
            <v>SG_07_01 Sun Glass Hut_Macys S_OWNED</v>
          </cell>
          <cell r="I1798" t="str">
            <v>0000006002 Chapel Hills Mall - Macy's</v>
          </cell>
          <cell r="J1798" t="str">
            <v>Department - MS</v>
          </cell>
        </row>
        <row r="1799">
          <cell r="C1799">
            <v>6003</v>
          </cell>
          <cell r="D1799" t="str">
            <v>Macy</v>
          </cell>
          <cell r="E1799" t="str">
            <v>Macy Staff</v>
          </cell>
          <cell r="F1799" t="str">
            <v>Macys - Staff</v>
          </cell>
          <cell r="G1799" t="str">
            <v>Macy</v>
          </cell>
          <cell r="H1799" t="str">
            <v>SG_07_01 Sun Glass Hut_Macys S_OWNED</v>
          </cell>
          <cell r="I1799" t="str">
            <v>0000006003 The Streets at SouthGlenn - Ma</v>
          </cell>
          <cell r="J1799" t="str">
            <v>Department - MS</v>
          </cell>
        </row>
        <row r="1800">
          <cell r="C1800">
            <v>6008</v>
          </cell>
          <cell r="D1800" t="str">
            <v>Macy</v>
          </cell>
          <cell r="E1800" t="str">
            <v>Macy Staff</v>
          </cell>
          <cell r="F1800" t="str">
            <v>Macys - Staff</v>
          </cell>
          <cell r="G1800" t="str">
            <v>Macy</v>
          </cell>
          <cell r="H1800" t="str">
            <v>SG_07_01 Sun Glass Hut_Macys S_OWNED</v>
          </cell>
          <cell r="I1800" t="str">
            <v>0000006008 University Mall - Macy's</v>
          </cell>
          <cell r="J1800" t="str">
            <v>Department - MS</v>
          </cell>
        </row>
        <row r="1801">
          <cell r="C1801">
            <v>6009</v>
          </cell>
          <cell r="D1801" t="str">
            <v>Macy</v>
          </cell>
          <cell r="E1801" t="str">
            <v>Macy Staff</v>
          </cell>
          <cell r="F1801" t="str">
            <v>Macys - Staff</v>
          </cell>
          <cell r="G1801" t="str">
            <v>Macy</v>
          </cell>
          <cell r="H1801" t="str">
            <v>SG_07_01 Sun Glass Hut_Macys S_OWNED</v>
          </cell>
          <cell r="I1801" t="str">
            <v>0000006009 Cottonwood Mall - Macy's</v>
          </cell>
          <cell r="J1801" t="str">
            <v>Department - MS</v>
          </cell>
        </row>
        <row r="1802">
          <cell r="C1802">
            <v>6012</v>
          </cell>
          <cell r="D1802" t="str">
            <v>Macy</v>
          </cell>
          <cell r="E1802" t="str">
            <v>Macy Staff</v>
          </cell>
          <cell r="F1802" t="str">
            <v>Macys - Staff</v>
          </cell>
          <cell r="G1802" t="str">
            <v>Macy</v>
          </cell>
          <cell r="H1802" t="str">
            <v>SG_07_01 Sun Glass Hut_Macys S_OWNED</v>
          </cell>
          <cell r="I1802" t="str">
            <v>0000006012 Gallatin Valley Mall - Macy's</v>
          </cell>
          <cell r="J1802" t="str">
            <v>Department - MS</v>
          </cell>
        </row>
        <row r="1803">
          <cell r="C1803">
            <v>6013</v>
          </cell>
          <cell r="D1803" t="str">
            <v>Macy</v>
          </cell>
          <cell r="E1803" t="str">
            <v>Macy Staff</v>
          </cell>
          <cell r="F1803" t="str">
            <v>Macys - Staff</v>
          </cell>
          <cell r="G1803" t="str">
            <v>Macy</v>
          </cell>
          <cell r="H1803" t="str">
            <v>SG_07_01 Sun Glass Hut_Macys S_OWNED</v>
          </cell>
          <cell r="I1803" t="str">
            <v>0000006013 Metrocenter Mall - Macy's</v>
          </cell>
          <cell r="J1803" t="str">
            <v>Department - MS</v>
          </cell>
        </row>
        <row r="1804">
          <cell r="C1804">
            <v>6015</v>
          </cell>
          <cell r="D1804" t="str">
            <v>Macy</v>
          </cell>
          <cell r="E1804" t="str">
            <v>Macy Staff</v>
          </cell>
          <cell r="F1804" t="str">
            <v>Macys - Staff</v>
          </cell>
          <cell r="G1804" t="str">
            <v>Macy</v>
          </cell>
          <cell r="H1804" t="str">
            <v>SG_07_01 Sun Glass Hut_Macys S_OWNED</v>
          </cell>
          <cell r="I1804" t="str">
            <v>0000006015 Sunland Park Mall - Macy's</v>
          </cell>
          <cell r="J1804" t="str">
            <v>Department - MS</v>
          </cell>
        </row>
        <row r="1805">
          <cell r="C1805">
            <v>6019</v>
          </cell>
          <cell r="D1805" t="str">
            <v>Macy</v>
          </cell>
          <cell r="E1805" t="str">
            <v>Macy Staff</v>
          </cell>
          <cell r="F1805" t="str">
            <v>Macys - Staff</v>
          </cell>
          <cell r="G1805" t="str">
            <v>Macy</v>
          </cell>
          <cell r="H1805" t="str">
            <v>SG_07_01 Sun Glass Hut_Macys S_OWNED</v>
          </cell>
          <cell r="I1805" t="str">
            <v>0000006019 Kailua - Macy's</v>
          </cell>
          <cell r="J1805" t="str">
            <v>Department - MS</v>
          </cell>
        </row>
        <row r="1806">
          <cell r="C1806">
            <v>6023</v>
          </cell>
          <cell r="D1806" t="str">
            <v>Macy</v>
          </cell>
          <cell r="E1806" t="str">
            <v>Macy Staff</v>
          </cell>
          <cell r="F1806" t="str">
            <v>Macys - Staff</v>
          </cell>
          <cell r="G1806" t="str">
            <v>Macy</v>
          </cell>
          <cell r="H1806" t="str">
            <v>SG_07_01 Sun Glass Hut_Macys S_OWNED</v>
          </cell>
          <cell r="I1806" t="str">
            <v>0000006023 Silver Lake Mall - Macy's</v>
          </cell>
          <cell r="J1806" t="str">
            <v>Department - MS</v>
          </cell>
        </row>
        <row r="1807">
          <cell r="C1807">
            <v>6024</v>
          </cell>
          <cell r="D1807" t="str">
            <v>Macy</v>
          </cell>
          <cell r="E1807" t="str">
            <v>Macy Staff</v>
          </cell>
          <cell r="F1807" t="str">
            <v>Macys - Staff</v>
          </cell>
          <cell r="G1807" t="str">
            <v>Macy</v>
          </cell>
          <cell r="H1807" t="str">
            <v>SG_07_01 Sun Glass Hut_Macys S_OWNED</v>
          </cell>
          <cell r="I1807" t="str">
            <v>0000006024 Magic Valley Mall - Macy's</v>
          </cell>
          <cell r="J1807" t="str">
            <v>Department - MS</v>
          </cell>
        </row>
        <row r="1808">
          <cell r="C1808">
            <v>6027</v>
          </cell>
          <cell r="D1808" t="str">
            <v>Macy</v>
          </cell>
          <cell r="E1808" t="str">
            <v>Macy Staff</v>
          </cell>
          <cell r="F1808" t="str">
            <v>Macys - Staff</v>
          </cell>
          <cell r="G1808" t="str">
            <v>Macy</v>
          </cell>
          <cell r="H1808" t="str">
            <v>SG_07_01 Sun Glass Hut_Macys S_OWNED</v>
          </cell>
          <cell r="I1808" t="str">
            <v>0000006027 The Orchard Town Center - Macy</v>
          </cell>
          <cell r="J1808" t="str">
            <v>Department - MS</v>
          </cell>
        </row>
        <row r="1809">
          <cell r="C1809">
            <v>6028</v>
          </cell>
          <cell r="D1809" t="str">
            <v>Macy</v>
          </cell>
          <cell r="E1809" t="str">
            <v>Macy Staff</v>
          </cell>
          <cell r="F1809" t="str">
            <v>Macys - Staff</v>
          </cell>
          <cell r="G1809" t="str">
            <v>Macy</v>
          </cell>
          <cell r="H1809" t="str">
            <v>SG_07_01 Sun Glass Hut_Macys S_OWNED</v>
          </cell>
          <cell r="I1809" t="str">
            <v>0000006028 Downtown Walla Walla - Macy's</v>
          </cell>
          <cell r="J1809" t="str">
            <v>Department - MS</v>
          </cell>
        </row>
        <row r="1810">
          <cell r="C1810">
            <v>6029</v>
          </cell>
          <cell r="D1810" t="str">
            <v>Macy</v>
          </cell>
          <cell r="E1810" t="str">
            <v>Macy Staff</v>
          </cell>
          <cell r="F1810" t="str">
            <v>Macys - Staff</v>
          </cell>
          <cell r="G1810" t="str">
            <v>Macy</v>
          </cell>
          <cell r="H1810" t="str">
            <v>SG_07_01 Sun Glass Hut_Macys S_OWNED</v>
          </cell>
          <cell r="I1810" t="str">
            <v>0000006029 Lancaster Mall - Macy's</v>
          </cell>
          <cell r="J1810" t="str">
            <v>Department - MS</v>
          </cell>
        </row>
        <row r="1811">
          <cell r="C1811">
            <v>6030</v>
          </cell>
          <cell r="D1811" t="str">
            <v>Macy</v>
          </cell>
          <cell r="E1811" t="str">
            <v>Macy Staff</v>
          </cell>
          <cell r="F1811" t="str">
            <v>Macys - Staff</v>
          </cell>
          <cell r="G1811" t="str">
            <v>Macy</v>
          </cell>
          <cell r="H1811" t="str">
            <v>SG_07_01 Sun Glass Hut_Macys S_OWNED</v>
          </cell>
          <cell r="I1811" t="str">
            <v>0000006030 Three Rivers Mall - Macy's</v>
          </cell>
          <cell r="J1811" t="str">
            <v>Department - MS</v>
          </cell>
        </row>
        <row r="1812">
          <cell r="C1812">
            <v>6031</v>
          </cell>
          <cell r="D1812" t="str">
            <v>Macy</v>
          </cell>
          <cell r="E1812" t="str">
            <v>Macy Staff</v>
          </cell>
          <cell r="F1812" t="str">
            <v>Macys - Staff</v>
          </cell>
          <cell r="G1812" t="str">
            <v>Macy</v>
          </cell>
          <cell r="H1812" t="str">
            <v>SG_07_01 Sun Glass Hut_Macys S_OWNED</v>
          </cell>
          <cell r="I1812" t="str">
            <v>0000006031 Northfield Stapleton - Macy's</v>
          </cell>
          <cell r="J1812" t="str">
            <v>Department - MS</v>
          </cell>
        </row>
        <row r="1813">
          <cell r="C1813">
            <v>6032</v>
          </cell>
          <cell r="D1813" t="str">
            <v>Macy</v>
          </cell>
          <cell r="E1813" t="str">
            <v>Macy Staff</v>
          </cell>
          <cell r="F1813" t="str">
            <v>Macys - Staff</v>
          </cell>
          <cell r="G1813" t="str">
            <v>Macy</v>
          </cell>
          <cell r="H1813" t="str">
            <v>SG_07_01 Sun Glass Hut_Macys S_OWNED</v>
          </cell>
          <cell r="I1813" t="str">
            <v>0000006032 Valley Fair Mall - Macy's</v>
          </cell>
          <cell r="J1813" t="str">
            <v>Department - MS</v>
          </cell>
        </row>
        <row r="1814">
          <cell r="C1814">
            <v>6033</v>
          </cell>
          <cell r="D1814" t="str">
            <v>Macy</v>
          </cell>
          <cell r="E1814" t="str">
            <v>Macy Staff</v>
          </cell>
          <cell r="F1814" t="str">
            <v>Macys - Staff</v>
          </cell>
          <cell r="G1814" t="str">
            <v>Macy</v>
          </cell>
          <cell r="H1814" t="str">
            <v>SG_07_01 Sun Glass Hut_Macys S_OWNED</v>
          </cell>
          <cell r="I1814" t="str">
            <v>0000006033 Grand Teton Mall - Macy's</v>
          </cell>
          <cell r="J1814" t="str">
            <v>Department - MS</v>
          </cell>
        </row>
        <row r="1815">
          <cell r="C1815">
            <v>6034</v>
          </cell>
          <cell r="D1815" t="str">
            <v>Macy</v>
          </cell>
          <cell r="E1815" t="str">
            <v>Macy Staff</v>
          </cell>
          <cell r="F1815" t="str">
            <v>Macys - Staff</v>
          </cell>
          <cell r="G1815" t="str">
            <v>Macy</v>
          </cell>
          <cell r="H1815" t="str">
            <v>SG_07_01 Sun Glass Hut_Macys S_OWNED</v>
          </cell>
          <cell r="I1815" t="str">
            <v>0000006034 Roseburg Valley Mall - Macy's</v>
          </cell>
          <cell r="J1815" t="str">
            <v>Department - MS</v>
          </cell>
        </row>
        <row r="1816">
          <cell r="C1816">
            <v>6036</v>
          </cell>
          <cell r="D1816" t="str">
            <v>Macy</v>
          </cell>
          <cell r="E1816" t="str">
            <v>Macy Staff</v>
          </cell>
          <cell r="F1816" t="str">
            <v>Macys - Staff</v>
          </cell>
          <cell r="G1816" t="str">
            <v>Macy</v>
          </cell>
          <cell r="H1816" t="str">
            <v>SG_07_01 Sun Glass Hut_Macys S_OWNED</v>
          </cell>
          <cell r="I1816" t="str">
            <v>0000006036 Northside Center - Macy's</v>
          </cell>
          <cell r="J1816" t="str">
            <v>Department - MS</v>
          </cell>
        </row>
        <row r="1817">
          <cell r="C1817">
            <v>6037</v>
          </cell>
          <cell r="D1817" t="str">
            <v>Macy</v>
          </cell>
          <cell r="E1817" t="str">
            <v>Macy Staff</v>
          </cell>
          <cell r="F1817" t="str">
            <v>Macys - Staff</v>
          </cell>
          <cell r="G1817" t="str">
            <v>Macy</v>
          </cell>
          <cell r="H1817" t="str">
            <v>SG_07_01 Sun Glass Hut_Macys S_OWNED</v>
          </cell>
          <cell r="I1817" t="str">
            <v>0000006037 Karcher Mall - Macy's</v>
          </cell>
          <cell r="J1817" t="str">
            <v>Department - MS</v>
          </cell>
        </row>
        <row r="1818">
          <cell r="C1818">
            <v>6039</v>
          </cell>
          <cell r="D1818" t="str">
            <v>Macy</v>
          </cell>
          <cell r="E1818" t="str">
            <v>Macy Staff</v>
          </cell>
          <cell r="F1818" t="str">
            <v>Macys - Staff</v>
          </cell>
          <cell r="G1818" t="str">
            <v>Macy</v>
          </cell>
          <cell r="H1818" t="str">
            <v>SG_07_01 Sun Glass Hut_Macys S_OWNED</v>
          </cell>
          <cell r="I1818" t="str">
            <v>0000006039 Lewiston Center Mall - Macy's</v>
          </cell>
          <cell r="J1818" t="str">
            <v>Department - MS</v>
          </cell>
        </row>
        <row r="1819">
          <cell r="C1819">
            <v>6040</v>
          </cell>
          <cell r="D1819" t="str">
            <v>Macy</v>
          </cell>
          <cell r="E1819" t="str">
            <v>Macy Staff</v>
          </cell>
          <cell r="F1819" t="str">
            <v>Macys - Staff</v>
          </cell>
          <cell r="G1819" t="str">
            <v>Macy</v>
          </cell>
          <cell r="H1819" t="str">
            <v>SG_07_01 Sun Glass Hut_Macys S_OWNED</v>
          </cell>
          <cell r="I1819" t="str">
            <v>0000006040 Palouse Mall - Macy's</v>
          </cell>
          <cell r="J1819" t="str">
            <v>Department - MS</v>
          </cell>
        </row>
        <row r="1820">
          <cell r="C1820">
            <v>6041</v>
          </cell>
          <cell r="D1820" t="str">
            <v>Macy</v>
          </cell>
          <cell r="E1820" t="str">
            <v>Macy Staff</v>
          </cell>
          <cell r="F1820" t="str">
            <v>Macys - Staff</v>
          </cell>
          <cell r="G1820" t="str">
            <v>Macy</v>
          </cell>
          <cell r="H1820" t="str">
            <v>SG_07_01 Sun Glass Hut_Macys S_OWNED</v>
          </cell>
          <cell r="I1820" t="str">
            <v>0000006041 Pony Village Mall - Macy's</v>
          </cell>
          <cell r="J1820" t="str">
            <v>Department - MS</v>
          </cell>
        </row>
        <row r="1821">
          <cell r="C1821">
            <v>6043</v>
          </cell>
          <cell r="D1821" t="str">
            <v>Macy</v>
          </cell>
          <cell r="E1821" t="str">
            <v>Macy Staff</v>
          </cell>
          <cell r="F1821" t="str">
            <v>Macys - Staff</v>
          </cell>
          <cell r="G1821" t="str">
            <v>Macy</v>
          </cell>
          <cell r="H1821" t="str">
            <v>SG_07_01 Sun Glass Hut_Macys S_OWNED</v>
          </cell>
          <cell r="I1821" t="str">
            <v>0000006043 Hyatt Regency Maui - Macy's</v>
          </cell>
          <cell r="J1821" t="str">
            <v>Department - MS</v>
          </cell>
        </row>
        <row r="1822">
          <cell r="C1822">
            <v>6044</v>
          </cell>
          <cell r="D1822" t="str">
            <v>Macy</v>
          </cell>
          <cell r="E1822" t="str">
            <v>Macy Staff</v>
          </cell>
          <cell r="F1822" t="str">
            <v>Macys - Staff</v>
          </cell>
          <cell r="G1822" t="str">
            <v>Macy</v>
          </cell>
          <cell r="H1822" t="str">
            <v>SG_07_01 Sun Glass Hut_Macys S_OWNED</v>
          </cell>
          <cell r="I1822" t="str">
            <v>0000006044 Kings Shops - Macy's</v>
          </cell>
          <cell r="J1822" t="str">
            <v>Department - MS</v>
          </cell>
        </row>
        <row r="1823">
          <cell r="C1823">
            <v>6056</v>
          </cell>
          <cell r="D1823" t="str">
            <v>Macy</v>
          </cell>
          <cell r="E1823" t="str">
            <v>Macy Staff</v>
          </cell>
          <cell r="F1823" t="str">
            <v>Macys - Staff</v>
          </cell>
          <cell r="G1823" t="str">
            <v>Macy</v>
          </cell>
          <cell r="H1823" t="str">
            <v>SG_07_01 Sun Glass Hut_Macys S_OWNED</v>
          </cell>
          <cell r="I1823" t="str">
            <v>0000006056 Eastridge Mall - Macy's</v>
          </cell>
          <cell r="J1823" t="str">
            <v>Department - MS</v>
          </cell>
        </row>
        <row r="1824">
          <cell r="C1824">
            <v>6146</v>
          </cell>
          <cell r="D1824" t="str">
            <v>Macy</v>
          </cell>
          <cell r="E1824" t="str">
            <v>Macy Staff</v>
          </cell>
          <cell r="F1824" t="str">
            <v>Macys - Staff</v>
          </cell>
          <cell r="G1824" t="str">
            <v>Macy</v>
          </cell>
          <cell r="H1824" t="str">
            <v>SG_07_01 Sun Glass Hut_Macys S_OWNED</v>
          </cell>
          <cell r="I1824" t="str">
            <v>0000006146 Manhattan Village - Macy's Men</v>
          </cell>
          <cell r="J1824" t="str">
            <v>Department - MS</v>
          </cell>
        </row>
        <row r="1825">
          <cell r="C1825">
            <v>6149</v>
          </cell>
          <cell r="D1825" t="str">
            <v>Macy</v>
          </cell>
          <cell r="E1825" t="str">
            <v>Macy Staff</v>
          </cell>
          <cell r="F1825" t="str">
            <v>Macys - Staff</v>
          </cell>
          <cell r="G1825" t="str">
            <v>Macy</v>
          </cell>
          <cell r="H1825" t="str">
            <v>SG_07_01 Sun Glass Hut_Macys S_OWNED</v>
          </cell>
          <cell r="I1825" t="str">
            <v>0000006149 Broadway Plaza - Macy's Mens</v>
          </cell>
          <cell r="J1825" t="str">
            <v>Department - MS</v>
          </cell>
        </row>
        <row r="1826">
          <cell r="C1826">
            <v>6150</v>
          </cell>
          <cell r="D1826" t="str">
            <v>Macy</v>
          </cell>
          <cell r="E1826" t="str">
            <v>Macy Staff</v>
          </cell>
          <cell r="F1826" t="str">
            <v>Macys - Staff</v>
          </cell>
          <cell r="G1826" t="str">
            <v>Macy</v>
          </cell>
          <cell r="H1826" t="str">
            <v>SG_07_01 Sun Glass Hut_Macys S_OWNED</v>
          </cell>
          <cell r="I1826" t="str">
            <v>0000006150 Hilltop Mall - Macy's Mens</v>
          </cell>
          <cell r="J1826" t="str">
            <v>Department - MS</v>
          </cell>
        </row>
        <row r="1827">
          <cell r="C1827">
            <v>6151</v>
          </cell>
          <cell r="D1827" t="str">
            <v>Macy</v>
          </cell>
          <cell r="E1827" t="str">
            <v>Macy Staff</v>
          </cell>
          <cell r="F1827" t="str">
            <v>Macys - Staff</v>
          </cell>
          <cell r="G1827" t="str">
            <v>Macy</v>
          </cell>
          <cell r="H1827" t="str">
            <v>SG_07_01 Sun Glass Hut_Macys S_OWNED</v>
          </cell>
          <cell r="I1827" t="str">
            <v>0000006151 Shops Mission Viejo - Macy's M</v>
          </cell>
          <cell r="J1827" t="str">
            <v>Department - MS</v>
          </cell>
        </row>
        <row r="1828">
          <cell r="C1828">
            <v>6154</v>
          </cell>
          <cell r="D1828" t="str">
            <v>Macy</v>
          </cell>
          <cell r="E1828" t="str">
            <v>Macy Staff</v>
          </cell>
          <cell r="F1828" t="str">
            <v>Macys - Staff</v>
          </cell>
          <cell r="G1828" t="str">
            <v>Macy</v>
          </cell>
          <cell r="H1828" t="str">
            <v>SG_07_01 Sun Glass Hut_Macys S_OWNED</v>
          </cell>
          <cell r="I1828" t="str">
            <v>0000006154 Chandler Fashion Ctr - Macy's</v>
          </cell>
          <cell r="J1828" t="str">
            <v>Department - MS</v>
          </cell>
        </row>
        <row r="1829">
          <cell r="C1829">
            <v>6155</v>
          </cell>
          <cell r="D1829" t="str">
            <v>Macy</v>
          </cell>
          <cell r="E1829" t="str">
            <v>Macy Staff</v>
          </cell>
          <cell r="F1829" t="str">
            <v>Macys - Staff</v>
          </cell>
          <cell r="G1829" t="str">
            <v>Macy</v>
          </cell>
          <cell r="H1829" t="str">
            <v>SG_07_01 Sun Glass Hut_Macys S_OWNED</v>
          </cell>
          <cell r="I1829" t="str">
            <v>0000006155 Sunvalley Shopping - Macy's Me</v>
          </cell>
          <cell r="J1829" t="str">
            <v>Department - MS</v>
          </cell>
        </row>
        <row r="1830">
          <cell r="C1830">
            <v>6156</v>
          </cell>
          <cell r="D1830" t="str">
            <v>Macy</v>
          </cell>
          <cell r="E1830" t="str">
            <v>Macy Staff</v>
          </cell>
          <cell r="F1830" t="str">
            <v>Macys - Staff</v>
          </cell>
          <cell r="G1830" t="str">
            <v>Macy</v>
          </cell>
          <cell r="H1830" t="str">
            <v>SG_07_01 Sun Glass Hut_Macys S_OWNED</v>
          </cell>
          <cell r="I1830" t="str">
            <v>0000006156 Meadowood Mall - Macy's Mens</v>
          </cell>
          <cell r="J1830" t="str">
            <v>Department - MS</v>
          </cell>
        </row>
        <row r="1831">
          <cell r="C1831">
            <v>6157</v>
          </cell>
          <cell r="D1831" t="str">
            <v>Macy</v>
          </cell>
          <cell r="E1831" t="str">
            <v>Macy Staff</v>
          </cell>
          <cell r="F1831" t="str">
            <v>Macys - Staff</v>
          </cell>
          <cell r="G1831" t="str">
            <v>Macy</v>
          </cell>
          <cell r="H1831" t="str">
            <v>SG_07_01 Sun Glass Hut_Macys S_OWNED</v>
          </cell>
          <cell r="I1831" t="str">
            <v>0000006157 Promenade Temecula  - Macy's M</v>
          </cell>
          <cell r="J1831" t="str">
            <v>Department - MS</v>
          </cell>
        </row>
        <row r="1832">
          <cell r="C1832">
            <v>6159</v>
          </cell>
          <cell r="D1832" t="str">
            <v>Macy</v>
          </cell>
          <cell r="E1832" t="str">
            <v>Macy Staff</v>
          </cell>
          <cell r="F1832" t="str">
            <v>Macys - Staff</v>
          </cell>
          <cell r="G1832" t="str">
            <v>Macy</v>
          </cell>
          <cell r="H1832" t="str">
            <v>SG_07_01 Sun Glass Hut_Macys S_OWNED</v>
          </cell>
          <cell r="I1832" t="str">
            <v>0000006159 Sunrise Mall - Macy's Mens</v>
          </cell>
          <cell r="J1832" t="str">
            <v>Department - MS</v>
          </cell>
        </row>
        <row r="1833">
          <cell r="C1833">
            <v>6160</v>
          </cell>
          <cell r="D1833" t="str">
            <v>Macy</v>
          </cell>
          <cell r="E1833" t="str">
            <v>Macy Staff</v>
          </cell>
          <cell r="F1833" t="str">
            <v>Macys - Staff</v>
          </cell>
          <cell r="G1833" t="str">
            <v>Macy</v>
          </cell>
          <cell r="H1833" t="str">
            <v>SG_07_01 Sun Glass Hut_Macys S_OWNED</v>
          </cell>
          <cell r="I1833" t="str">
            <v>0000006160 Plaza Camino Real - Macy's Men</v>
          </cell>
          <cell r="J1833" t="str">
            <v>Department - MS</v>
          </cell>
        </row>
        <row r="1834">
          <cell r="C1834">
            <v>6161</v>
          </cell>
          <cell r="D1834" t="str">
            <v>Macy</v>
          </cell>
          <cell r="E1834" t="str">
            <v>Macy Staff</v>
          </cell>
          <cell r="F1834" t="str">
            <v>Macys - Staff</v>
          </cell>
          <cell r="G1834" t="str">
            <v>Macy</v>
          </cell>
          <cell r="H1834" t="str">
            <v>SG_07_01 Sun Glass Hut_Macys S_OWNED</v>
          </cell>
          <cell r="I1834" t="str">
            <v>0000006161 Tacoma Mall - Macy's Mens</v>
          </cell>
          <cell r="J1834" t="str">
            <v>Department - MS</v>
          </cell>
        </row>
        <row r="1835">
          <cell r="C1835">
            <v>6162</v>
          </cell>
          <cell r="D1835" t="str">
            <v>Macy</v>
          </cell>
          <cell r="E1835" t="str">
            <v>Macy Staff</v>
          </cell>
          <cell r="F1835" t="str">
            <v>Macys - Staff</v>
          </cell>
          <cell r="G1835" t="str">
            <v>Macy</v>
          </cell>
          <cell r="H1835" t="str">
            <v>SG_07_01 Sun Glass Hut_Macys S_OWNED</v>
          </cell>
          <cell r="I1835" t="str">
            <v>0000006162 The Oaks - Macy's Mens</v>
          </cell>
          <cell r="J1835" t="str">
            <v>Department - MS</v>
          </cell>
        </row>
        <row r="1836">
          <cell r="C1836">
            <v>6172</v>
          </cell>
          <cell r="D1836" t="str">
            <v>Macy</v>
          </cell>
          <cell r="E1836" t="str">
            <v>Macy Staff</v>
          </cell>
          <cell r="F1836" t="str">
            <v>Macys - Staff</v>
          </cell>
          <cell r="G1836" t="str">
            <v>Macy</v>
          </cell>
          <cell r="H1836" t="str">
            <v>SG_07_01 Sun Glass Hut_Macys S_OWNED</v>
          </cell>
          <cell r="I1836" t="str">
            <v>0000006172 Westfarms Mall - Macy's Mens</v>
          </cell>
          <cell r="J1836" t="str">
            <v>Department - MS</v>
          </cell>
        </row>
        <row r="1837">
          <cell r="C1837">
            <v>6190</v>
          </cell>
          <cell r="D1837" t="str">
            <v>Macy</v>
          </cell>
          <cell r="E1837" t="str">
            <v>Macy Staff</v>
          </cell>
          <cell r="F1837" t="str">
            <v>Macys - Staff</v>
          </cell>
          <cell r="G1837" t="str">
            <v>Macy</v>
          </cell>
          <cell r="H1837" t="str">
            <v>SG_07_01 Sun Glass Hut_Macys S_OWNED</v>
          </cell>
          <cell r="I1837" t="str">
            <v>0000006190 Eastfield Mall - Macy's</v>
          </cell>
          <cell r="J1837" t="str">
            <v>Department - MS</v>
          </cell>
        </row>
        <row r="1838">
          <cell r="C1838">
            <v>6194</v>
          </cell>
          <cell r="D1838" t="str">
            <v>Macy</v>
          </cell>
          <cell r="E1838" t="str">
            <v>Macy Staff</v>
          </cell>
          <cell r="F1838" t="str">
            <v>Macys - Staff</v>
          </cell>
          <cell r="G1838" t="str">
            <v>Macy</v>
          </cell>
          <cell r="H1838" t="str">
            <v>SG_07_01 Sun Glass Hut_Macys S_OWNED</v>
          </cell>
          <cell r="I1838" t="str">
            <v>0000006194 Ledgewood Mall - Macy's</v>
          </cell>
          <cell r="J1838" t="str">
            <v>Department - MS</v>
          </cell>
        </row>
        <row r="1839">
          <cell r="C1839">
            <v>6235</v>
          </cell>
          <cell r="D1839" t="str">
            <v>Macy</v>
          </cell>
          <cell r="E1839" t="str">
            <v>Macy Staff</v>
          </cell>
          <cell r="F1839" t="str">
            <v>Macys - Staff</v>
          </cell>
          <cell r="G1839" t="str">
            <v>Macy</v>
          </cell>
          <cell r="H1839" t="str">
            <v>SG_07_01 Sun Glass Hut_Macys S_OWNED</v>
          </cell>
          <cell r="I1839" t="str">
            <v>0000006235 Cape Cod Mall - Macy's Mens</v>
          </cell>
          <cell r="J1839" t="str">
            <v>Department - MS</v>
          </cell>
        </row>
        <row r="1840">
          <cell r="C1840">
            <v>6240</v>
          </cell>
          <cell r="D1840" t="str">
            <v>Macy</v>
          </cell>
          <cell r="E1840" t="str">
            <v>Macy Staff</v>
          </cell>
          <cell r="F1840" t="str">
            <v>Macys - Staff</v>
          </cell>
          <cell r="G1840" t="str">
            <v>Macy</v>
          </cell>
          <cell r="H1840" t="str">
            <v>SG_07_01 Sun Glass Hut_Macys S_OWNED</v>
          </cell>
          <cell r="I1840" t="str">
            <v>0000006240 Fox Run Mall - Macy's Mens</v>
          </cell>
          <cell r="J1840" t="str">
            <v>Department - MS</v>
          </cell>
        </row>
        <row r="1841">
          <cell r="C1841">
            <v>6265</v>
          </cell>
          <cell r="D1841" t="str">
            <v>Macy</v>
          </cell>
          <cell r="E1841" t="str">
            <v>Macy Staff</v>
          </cell>
          <cell r="F1841" t="str">
            <v>Macys - Staff</v>
          </cell>
          <cell r="G1841" t="str">
            <v>Macy</v>
          </cell>
          <cell r="H1841" t="str">
            <v>SG_07_01 Sun Glass Hut_Macys S_OWNED</v>
          </cell>
          <cell r="I1841" t="str">
            <v>0000006265 Oakdale Mall - Macy's</v>
          </cell>
          <cell r="J1841" t="str">
            <v>Department - MS</v>
          </cell>
        </row>
        <row r="1842">
          <cell r="C1842">
            <v>6374</v>
          </cell>
          <cell r="D1842" t="str">
            <v>Macy</v>
          </cell>
          <cell r="E1842" t="str">
            <v>Macy Staff</v>
          </cell>
          <cell r="F1842" t="str">
            <v>Macys - Staff</v>
          </cell>
          <cell r="G1842" t="str">
            <v>Macy</v>
          </cell>
          <cell r="H1842" t="str">
            <v>SG_07_01 Sun Glass Hut_Macys S_OWNED</v>
          </cell>
          <cell r="I1842" t="str">
            <v>0000006374 Marlow Heights - Macy's</v>
          </cell>
          <cell r="J1842" t="str">
            <v>Department - MS</v>
          </cell>
        </row>
        <row r="1843">
          <cell r="C1843">
            <v>6403</v>
          </cell>
          <cell r="D1843" t="str">
            <v>Macy</v>
          </cell>
          <cell r="E1843" t="str">
            <v>Macy Staff</v>
          </cell>
          <cell r="F1843" t="str">
            <v>Macys - Staff</v>
          </cell>
          <cell r="G1843" t="str">
            <v>Macy</v>
          </cell>
          <cell r="H1843" t="str">
            <v>SG_07_01 Sun Glass Hut_Macys S_OWNED</v>
          </cell>
          <cell r="I1843" t="str">
            <v>0000006403 Arnot Mall - Macy's</v>
          </cell>
          <cell r="J1843" t="str">
            <v>Department - MS</v>
          </cell>
        </row>
        <row r="1844">
          <cell r="C1844">
            <v>6414</v>
          </cell>
          <cell r="D1844" t="str">
            <v>Macy</v>
          </cell>
          <cell r="E1844" t="str">
            <v>Macy Staff</v>
          </cell>
          <cell r="F1844" t="str">
            <v>Macys - Staff</v>
          </cell>
          <cell r="G1844" t="str">
            <v>Macy</v>
          </cell>
          <cell r="H1844" t="str">
            <v>SG_07_01 Sun Glass Hut_Macys S_OWNED</v>
          </cell>
          <cell r="I1844" t="str">
            <v>0000006414 Rotterdam Square - Macy's</v>
          </cell>
          <cell r="J1844" t="str">
            <v>Department - MS</v>
          </cell>
        </row>
        <row r="1845">
          <cell r="C1845">
            <v>6420</v>
          </cell>
          <cell r="D1845" t="str">
            <v>Macy</v>
          </cell>
          <cell r="E1845" t="str">
            <v>Macy Staff</v>
          </cell>
          <cell r="F1845" t="str">
            <v>Macys - Staff</v>
          </cell>
          <cell r="G1845" t="str">
            <v>Macy</v>
          </cell>
          <cell r="H1845" t="str">
            <v>SG_07_01 Sun Glass Hut_Macys S_OWNED</v>
          </cell>
          <cell r="I1845" t="str">
            <v>0000006420 Eastern Hills Mall - Macy's</v>
          </cell>
          <cell r="J1845" t="str">
            <v>Department - MS</v>
          </cell>
        </row>
        <row r="1846">
          <cell r="C1846">
            <v>6421</v>
          </cell>
          <cell r="D1846" t="str">
            <v>Macy</v>
          </cell>
          <cell r="E1846" t="str">
            <v>Macy Staff</v>
          </cell>
          <cell r="F1846" t="str">
            <v>Macys - Staff</v>
          </cell>
          <cell r="G1846" t="str">
            <v>Macy</v>
          </cell>
          <cell r="H1846" t="str">
            <v>SG_07_01 Sun Glass Hut_Macys S_OWNED</v>
          </cell>
          <cell r="I1846" t="str">
            <v>0000006421 Shopping Town Mall - Macy's</v>
          </cell>
          <cell r="J1846" t="str">
            <v>Department - MS</v>
          </cell>
        </row>
        <row r="1847">
          <cell r="C1847">
            <v>6425</v>
          </cell>
          <cell r="D1847" t="str">
            <v>Macy</v>
          </cell>
          <cell r="E1847" t="str">
            <v>Macy Staff</v>
          </cell>
          <cell r="F1847" t="str">
            <v>Macys - Staff</v>
          </cell>
          <cell r="G1847" t="str">
            <v>Macy</v>
          </cell>
          <cell r="H1847" t="str">
            <v>SG_07_01 Sun Glass Hut_Macys S_OWNED</v>
          </cell>
          <cell r="I1847" t="str">
            <v>0000006425 McKinley Mall - Macy's</v>
          </cell>
          <cell r="J1847" t="str">
            <v>Department - MS</v>
          </cell>
        </row>
        <row r="1848">
          <cell r="C1848">
            <v>6430</v>
          </cell>
          <cell r="D1848" t="str">
            <v>Macy</v>
          </cell>
          <cell r="E1848" t="str">
            <v>Macy Staff</v>
          </cell>
          <cell r="F1848" t="str">
            <v>Macys - Staff</v>
          </cell>
          <cell r="G1848" t="str">
            <v>Macy</v>
          </cell>
          <cell r="H1848" t="str">
            <v>SG_07_01 Sun Glass Hut_Macys S_OWNED</v>
          </cell>
          <cell r="I1848" t="str">
            <v>0000006430 Great Northern Mall - Macy's</v>
          </cell>
          <cell r="J1848" t="str">
            <v>Department - MS</v>
          </cell>
        </row>
        <row r="1849">
          <cell r="C1849">
            <v>6459</v>
          </cell>
          <cell r="D1849" t="str">
            <v>Macy</v>
          </cell>
          <cell r="E1849" t="str">
            <v>Macy Staff</v>
          </cell>
          <cell r="F1849" t="str">
            <v>Macys - Staff</v>
          </cell>
          <cell r="G1849" t="str">
            <v>Macy</v>
          </cell>
          <cell r="H1849" t="str">
            <v>SG_07_01 Sun Glass Hut_Macys S_OWNED</v>
          </cell>
          <cell r="I1849" t="str">
            <v>0000006459 Voorhees Town Center - Macy's</v>
          </cell>
          <cell r="J1849" t="str">
            <v>Department - MS</v>
          </cell>
        </row>
        <row r="1850">
          <cell r="C1850">
            <v>6478</v>
          </cell>
          <cell r="D1850" t="str">
            <v>Macy</v>
          </cell>
          <cell r="E1850" t="str">
            <v>Macy Staff</v>
          </cell>
          <cell r="F1850" t="str">
            <v>Macys - Staff</v>
          </cell>
          <cell r="G1850" t="str">
            <v>Macy</v>
          </cell>
          <cell r="H1850" t="str">
            <v>SG_07_01 Sun Glass Hut_Macys S_OWNED</v>
          </cell>
          <cell r="I1850" t="str">
            <v>0000006478 Plymouth Meeting Mall - Macy's</v>
          </cell>
          <cell r="J1850" t="str">
            <v>Department - MS</v>
          </cell>
        </row>
        <row r="1851">
          <cell r="C1851">
            <v>6491</v>
          </cell>
          <cell r="D1851" t="str">
            <v>Macy</v>
          </cell>
          <cell r="E1851" t="str">
            <v>Macy Staff</v>
          </cell>
          <cell r="F1851" t="str">
            <v>Macys - Staff</v>
          </cell>
          <cell r="G1851" t="str">
            <v>Macy</v>
          </cell>
          <cell r="H1851" t="str">
            <v>SG_07_01 Sun Glass Hut_Macys S_OWNED</v>
          </cell>
          <cell r="I1851" t="str">
            <v>0000006491 Security Square Mall - Macy's</v>
          </cell>
          <cell r="J1851" t="str">
            <v>Department - MS</v>
          </cell>
        </row>
        <row r="1852">
          <cell r="C1852">
            <v>7235</v>
          </cell>
          <cell r="D1852" t="str">
            <v>Macy</v>
          </cell>
          <cell r="E1852" t="str">
            <v>Macy Staff</v>
          </cell>
          <cell r="F1852" t="str">
            <v>Macys - Staff</v>
          </cell>
          <cell r="G1852" t="str">
            <v>Macy</v>
          </cell>
          <cell r="H1852" t="str">
            <v>SG_07_01 Sun Glass Hut_Macys S_OWNED</v>
          </cell>
          <cell r="I1852" t="str">
            <v>0000007235 Suburban Square - Macy's</v>
          </cell>
          <cell r="J1852" t="str">
            <v>Department - MS</v>
          </cell>
        </row>
        <row r="1853">
          <cell r="C1853">
            <v>7237</v>
          </cell>
          <cell r="D1853" t="str">
            <v>Macy</v>
          </cell>
          <cell r="E1853" t="str">
            <v>Macy Staff</v>
          </cell>
          <cell r="F1853" t="str">
            <v>Macys - Staff</v>
          </cell>
          <cell r="G1853" t="str">
            <v>Macy</v>
          </cell>
          <cell r="H1853" t="str">
            <v>SG_07_01 Sun Glass Hut_Macys S_OWNED</v>
          </cell>
          <cell r="I1853" t="str">
            <v>0000007237 Hampton Bays - Macy's</v>
          </cell>
          <cell r="J1853" t="str">
            <v>Department - MS</v>
          </cell>
        </row>
        <row r="1854">
          <cell r="C1854">
            <v>7240</v>
          </cell>
          <cell r="D1854" t="str">
            <v>Macy</v>
          </cell>
          <cell r="E1854" t="str">
            <v>Macy Staff</v>
          </cell>
          <cell r="F1854" t="str">
            <v>Macys - Staff</v>
          </cell>
          <cell r="G1854" t="str">
            <v>Macy</v>
          </cell>
          <cell r="H1854" t="str">
            <v>SG_07_01 Sun Glass Hut_Macys S_OWNED</v>
          </cell>
          <cell r="I1854" t="str">
            <v>0000007240 Dover Mall - Macy's</v>
          </cell>
          <cell r="J1854" t="str">
            <v>Department - MS</v>
          </cell>
        </row>
        <row r="1855">
          <cell r="C1855">
            <v>7241</v>
          </cell>
          <cell r="D1855" t="str">
            <v>Macy</v>
          </cell>
          <cell r="E1855" t="str">
            <v>Macy Staff</v>
          </cell>
          <cell r="F1855" t="str">
            <v>Macys - Staff</v>
          </cell>
          <cell r="G1855" t="str">
            <v>Macy</v>
          </cell>
          <cell r="H1855" t="str">
            <v>SG_07_01 Sun Glass Hut_Macys S_OWNED</v>
          </cell>
          <cell r="I1855" t="str">
            <v>0000007241 The Mall at Whitney Field - Ma</v>
          </cell>
          <cell r="J1855" t="str">
            <v>Department - MS</v>
          </cell>
        </row>
        <row r="1856">
          <cell r="C1856">
            <v>7244</v>
          </cell>
          <cell r="D1856" t="str">
            <v>Macy</v>
          </cell>
          <cell r="E1856" t="str">
            <v>Macy Staff</v>
          </cell>
          <cell r="F1856" t="str">
            <v>Macys - Staff</v>
          </cell>
          <cell r="G1856" t="str">
            <v>Macy</v>
          </cell>
          <cell r="H1856" t="str">
            <v>SG_07_01 Sun Glass Hut_Macys S_OWNED</v>
          </cell>
          <cell r="I1856" t="str">
            <v>0000007244 Middlesex Mall - Macy's</v>
          </cell>
          <cell r="J1856" t="str">
            <v>Department - MS</v>
          </cell>
        </row>
        <row r="1857">
          <cell r="C1857">
            <v>7254</v>
          </cell>
          <cell r="D1857" t="str">
            <v>Macy</v>
          </cell>
          <cell r="E1857" t="str">
            <v>Macy Staff</v>
          </cell>
          <cell r="F1857" t="str">
            <v>Macys - Staff</v>
          </cell>
          <cell r="G1857" t="str">
            <v>Macy</v>
          </cell>
          <cell r="H1857" t="str">
            <v>SG_07_01 Sun Glass Hut_Macys S_OWNED</v>
          </cell>
          <cell r="I1857" t="str">
            <v>0000007254 Valley Mall - Macy's</v>
          </cell>
          <cell r="J1857" t="str">
            <v>Department - MS</v>
          </cell>
        </row>
        <row r="1858">
          <cell r="C1858">
            <v>7257</v>
          </cell>
          <cell r="D1858" t="str">
            <v>Macy</v>
          </cell>
          <cell r="E1858" t="str">
            <v>Macy Staff</v>
          </cell>
          <cell r="F1858" t="str">
            <v>Macys - Staff</v>
          </cell>
          <cell r="G1858" t="str">
            <v>Macy</v>
          </cell>
          <cell r="H1858" t="str">
            <v>SG_07_01 Sun Glass Hut_Macys S_OWNED</v>
          </cell>
          <cell r="I1858" t="str">
            <v>0000007257 Harrisburg Mall - Macy's</v>
          </cell>
          <cell r="J1858" t="str">
            <v>Department - MS</v>
          </cell>
        </row>
        <row r="1859">
          <cell r="C1859">
            <v>7258</v>
          </cell>
          <cell r="D1859" t="str">
            <v>Macy</v>
          </cell>
          <cell r="E1859" t="str">
            <v>Macy Staff</v>
          </cell>
          <cell r="F1859" t="str">
            <v>Macys - Staff</v>
          </cell>
          <cell r="G1859" t="str">
            <v>Macy</v>
          </cell>
          <cell r="H1859" t="str">
            <v>SG_07_01 Sun Glass Hut_Macys S_OWNED</v>
          </cell>
          <cell r="I1859" t="str">
            <v>0000007258 Capital City Mall - Macy's</v>
          </cell>
          <cell r="J1859" t="str">
            <v>Department - MS</v>
          </cell>
        </row>
        <row r="1860">
          <cell r="C1860">
            <v>7259</v>
          </cell>
          <cell r="D1860" t="str">
            <v>Macy</v>
          </cell>
          <cell r="E1860" t="str">
            <v>Macy Staff</v>
          </cell>
          <cell r="F1860" t="str">
            <v>Macys - Staff</v>
          </cell>
          <cell r="G1860" t="str">
            <v>Macy</v>
          </cell>
          <cell r="H1860" t="str">
            <v>SG_07_01 Sun Glass Hut_Macys S_OWNED</v>
          </cell>
          <cell r="I1860" t="str">
            <v>0000007259 West Manchester Mall - Macy's</v>
          </cell>
          <cell r="J1860" t="str">
            <v>Department - MS</v>
          </cell>
        </row>
        <row r="1861">
          <cell r="C1861">
            <v>7261</v>
          </cell>
          <cell r="D1861" t="str">
            <v>Macy</v>
          </cell>
          <cell r="E1861" t="str">
            <v>Macy Staff</v>
          </cell>
          <cell r="F1861" t="str">
            <v>Macys - Staff</v>
          </cell>
          <cell r="G1861" t="str">
            <v>Macy</v>
          </cell>
          <cell r="H1861" t="str">
            <v>SG_07_01 Sun Glass Hut_Macys S_OWNED</v>
          </cell>
          <cell r="I1861" t="str">
            <v>0000007261 Hudson Valley Mall - Macy's</v>
          </cell>
          <cell r="J1861" t="str">
            <v>Department - MS</v>
          </cell>
        </row>
        <row r="1862">
          <cell r="C1862">
            <v>7263</v>
          </cell>
          <cell r="D1862" t="str">
            <v>Macy</v>
          </cell>
          <cell r="E1862" t="str">
            <v>Macy Staff</v>
          </cell>
          <cell r="F1862" t="str">
            <v>Macys - Staff</v>
          </cell>
          <cell r="G1862" t="str">
            <v>Macy</v>
          </cell>
          <cell r="H1862" t="str">
            <v>SG_07_01 Sun Glass Hut_Macys S_OWNED</v>
          </cell>
          <cell r="I1862" t="str">
            <v>0000007263 Berkshire Mall - Macy's</v>
          </cell>
          <cell r="J1862" t="str">
            <v>Department - MS</v>
          </cell>
        </row>
        <row r="1863">
          <cell r="C1863">
            <v>7272</v>
          </cell>
          <cell r="D1863" t="str">
            <v>Macy</v>
          </cell>
          <cell r="E1863" t="str">
            <v>Macy Staff</v>
          </cell>
          <cell r="F1863" t="str">
            <v>Macys - Staff</v>
          </cell>
          <cell r="G1863" t="str">
            <v>Macy</v>
          </cell>
          <cell r="H1863" t="str">
            <v>SG_07_01 Sun Glass Hut_Macys S_OWNED</v>
          </cell>
          <cell r="I1863" t="str">
            <v>0000007272 Valley View Mall - Macy's</v>
          </cell>
          <cell r="J1863" t="str">
            <v>Department - MS</v>
          </cell>
        </row>
        <row r="1864">
          <cell r="C1864">
            <v>7273</v>
          </cell>
          <cell r="D1864" t="str">
            <v>Macy</v>
          </cell>
          <cell r="E1864" t="str">
            <v>Macy Staff</v>
          </cell>
          <cell r="F1864" t="str">
            <v>Macys - Staff</v>
          </cell>
          <cell r="G1864" t="str">
            <v>Macy</v>
          </cell>
          <cell r="H1864" t="str">
            <v>SG_07_01 Sun Glass Hut_Macys S_OWNED</v>
          </cell>
          <cell r="I1864" t="str">
            <v>0000007273 Oakwood Mall - Macy's</v>
          </cell>
          <cell r="J1864" t="str">
            <v>Department - MS</v>
          </cell>
        </row>
        <row r="1865">
          <cell r="C1865">
            <v>7275</v>
          </cell>
          <cell r="D1865" t="str">
            <v>Macy</v>
          </cell>
          <cell r="E1865" t="str">
            <v>Macy Staff</v>
          </cell>
          <cell r="F1865" t="str">
            <v>Macys - Staff</v>
          </cell>
          <cell r="G1865" t="str">
            <v>Macy</v>
          </cell>
          <cell r="H1865" t="str">
            <v>SG_07_01 Sun Glass Hut_Macys S_OWNED</v>
          </cell>
          <cell r="I1865" t="str">
            <v>0000007275 Spring Hill Mall - Macy's</v>
          </cell>
          <cell r="J1865" t="str">
            <v>Department - MS</v>
          </cell>
        </row>
        <row r="1866">
          <cell r="C1866">
            <v>7279</v>
          </cell>
          <cell r="D1866" t="str">
            <v>Macy</v>
          </cell>
          <cell r="E1866" t="str">
            <v>Macy Staff</v>
          </cell>
          <cell r="F1866" t="str">
            <v>Macys - Staff</v>
          </cell>
          <cell r="G1866" t="str">
            <v>Macy</v>
          </cell>
          <cell r="H1866" t="str">
            <v>SG_07_01 Sun Glass Hut_Macys S_OWNED</v>
          </cell>
          <cell r="I1866" t="str">
            <v>0000007279 Lansing Mall - Macy's</v>
          </cell>
          <cell r="J1866" t="str">
            <v>Department - MS</v>
          </cell>
        </row>
        <row r="1867">
          <cell r="C1867">
            <v>7280</v>
          </cell>
          <cell r="D1867" t="str">
            <v>Macy</v>
          </cell>
          <cell r="E1867" t="str">
            <v>Macy Staff</v>
          </cell>
          <cell r="F1867" t="str">
            <v>Macys - Staff</v>
          </cell>
          <cell r="G1867" t="str">
            <v>Macy</v>
          </cell>
          <cell r="H1867" t="str">
            <v>SG_07_01 Sun Glass Hut_Macys S_OWNED</v>
          </cell>
          <cell r="I1867" t="str">
            <v>0000007280 Lakeview Square Mall - Macy's</v>
          </cell>
          <cell r="J1867" t="str">
            <v>Department - MS</v>
          </cell>
        </row>
        <row r="1868">
          <cell r="C1868">
            <v>7281</v>
          </cell>
          <cell r="D1868" t="str">
            <v>Macy</v>
          </cell>
          <cell r="E1868" t="str">
            <v>Macy Staff</v>
          </cell>
          <cell r="F1868" t="str">
            <v>Macys - Staff</v>
          </cell>
          <cell r="G1868" t="str">
            <v>Macy</v>
          </cell>
          <cell r="H1868" t="str">
            <v>SG_07_01 Sun Glass Hut_Macys S_OWNED</v>
          </cell>
          <cell r="I1868" t="str">
            <v>0000007281 Birchwood Mall - Macy's</v>
          </cell>
          <cell r="J1868" t="str">
            <v>Department - MS</v>
          </cell>
        </row>
        <row r="1869">
          <cell r="C1869">
            <v>7292</v>
          </cell>
          <cell r="D1869" t="str">
            <v>Macy</v>
          </cell>
          <cell r="E1869" t="str">
            <v>Macy Staff</v>
          </cell>
          <cell r="F1869" t="str">
            <v>Macys - Staff</v>
          </cell>
          <cell r="G1869" t="str">
            <v>Macy</v>
          </cell>
          <cell r="H1869" t="str">
            <v>SG_07_01 Sun Glass Hut_Macys S_OWNED</v>
          </cell>
          <cell r="I1869" t="str">
            <v>0000007292 Richmond Town Square - Macy's</v>
          </cell>
          <cell r="J1869" t="str">
            <v>Department - MS</v>
          </cell>
        </row>
        <row r="1870">
          <cell r="C1870">
            <v>7293</v>
          </cell>
          <cell r="D1870" t="str">
            <v>Macy</v>
          </cell>
          <cell r="E1870" t="str">
            <v>Macy Staff</v>
          </cell>
          <cell r="F1870" t="str">
            <v>Macys - Staff</v>
          </cell>
          <cell r="G1870" t="str">
            <v>Macy</v>
          </cell>
          <cell r="H1870" t="str">
            <v>SG_07_01 Sun Glass Hut_Macys S_OWNED</v>
          </cell>
          <cell r="I1870" t="str">
            <v>0000007293 Stow-Kent Shopping Center - Ma</v>
          </cell>
          <cell r="J1870" t="str">
            <v>Department - MS</v>
          </cell>
        </row>
        <row r="1871">
          <cell r="C1871">
            <v>7294</v>
          </cell>
          <cell r="D1871" t="str">
            <v>Macy</v>
          </cell>
          <cell r="E1871" t="str">
            <v>Macy Staff</v>
          </cell>
          <cell r="F1871" t="str">
            <v>Macys - Staff</v>
          </cell>
          <cell r="G1871" t="str">
            <v>Macy</v>
          </cell>
          <cell r="H1871" t="str">
            <v>SG_07_01 Sun Glass Hut_Macys S_OWNED</v>
          </cell>
          <cell r="I1871" t="str">
            <v>0000007294 Midway Mall - Macy's</v>
          </cell>
          <cell r="J1871" t="str">
            <v>Department - MS</v>
          </cell>
        </row>
        <row r="1872">
          <cell r="C1872">
            <v>7295</v>
          </cell>
          <cell r="D1872" t="str">
            <v>Macy</v>
          </cell>
          <cell r="E1872" t="str">
            <v>Macy Staff</v>
          </cell>
          <cell r="F1872" t="str">
            <v>Macys - Staff</v>
          </cell>
          <cell r="G1872" t="str">
            <v>Macy</v>
          </cell>
          <cell r="H1872" t="str">
            <v>SG_07_01 Sun Glass Hut_Macys S_OWNED</v>
          </cell>
          <cell r="I1872" t="str">
            <v>0000007295 Sandusky Mall - Macy's</v>
          </cell>
          <cell r="J1872" t="str">
            <v>Department - MS</v>
          </cell>
        </row>
        <row r="1873">
          <cell r="C1873">
            <v>7299</v>
          </cell>
          <cell r="D1873" t="str">
            <v>Macy</v>
          </cell>
          <cell r="E1873" t="str">
            <v>Macy Staff</v>
          </cell>
          <cell r="F1873" t="str">
            <v>Macys - Staff</v>
          </cell>
          <cell r="G1873" t="str">
            <v>Macy</v>
          </cell>
          <cell r="H1873" t="str">
            <v>SG_07_01 Sun Glass Hut_Macys S_OWNED</v>
          </cell>
          <cell r="I1873" t="str">
            <v>0000007299 Kingsdale Center Mall - Macy's</v>
          </cell>
          <cell r="J1873" t="str">
            <v>Department - MS</v>
          </cell>
        </row>
        <row r="1874">
          <cell r="C1874">
            <v>7300</v>
          </cell>
          <cell r="D1874" t="str">
            <v>Macy</v>
          </cell>
          <cell r="E1874" t="str">
            <v>Macy Staff</v>
          </cell>
          <cell r="F1874" t="str">
            <v>Macys - Staff</v>
          </cell>
          <cell r="G1874" t="str">
            <v>Macy</v>
          </cell>
          <cell r="H1874" t="str">
            <v>SG_07_01 Sun Glass Hut_Macys S_OWNED</v>
          </cell>
          <cell r="I1874" t="str">
            <v>0000007300 Lima Mall - Macy's</v>
          </cell>
          <cell r="J1874" t="str">
            <v>Department - MS</v>
          </cell>
        </row>
        <row r="1875">
          <cell r="C1875">
            <v>7301</v>
          </cell>
          <cell r="D1875" t="str">
            <v>Macy</v>
          </cell>
          <cell r="E1875" t="str">
            <v>Macy Staff</v>
          </cell>
          <cell r="F1875" t="str">
            <v>Macys - Staff</v>
          </cell>
          <cell r="G1875" t="str">
            <v>Macy</v>
          </cell>
          <cell r="H1875" t="str">
            <v>SG_07_01 Sun Glass Hut_Macys S_OWNED</v>
          </cell>
          <cell r="I1875" t="str">
            <v>0000007301 Richland Mall - Macy's</v>
          </cell>
          <cell r="J1875" t="str">
            <v>Department - MS</v>
          </cell>
        </row>
        <row r="1876">
          <cell r="C1876">
            <v>7302</v>
          </cell>
          <cell r="D1876" t="str">
            <v>Macy</v>
          </cell>
          <cell r="E1876" t="str">
            <v>Macy Staff</v>
          </cell>
          <cell r="F1876" t="str">
            <v>Macys - Staff</v>
          </cell>
          <cell r="G1876" t="str">
            <v>Macy</v>
          </cell>
          <cell r="H1876" t="str">
            <v>SG_07_01 Sun Glass Hut_Macys S_OWNED</v>
          </cell>
          <cell r="I1876" t="str">
            <v>0000007302 Upper Valley Mall - Macy's</v>
          </cell>
          <cell r="J1876" t="str">
            <v>Department - MS</v>
          </cell>
        </row>
        <row r="1877">
          <cell r="C1877">
            <v>7303</v>
          </cell>
          <cell r="D1877" t="str">
            <v>Macy</v>
          </cell>
          <cell r="E1877" t="str">
            <v>Macy Staff</v>
          </cell>
          <cell r="F1877" t="str">
            <v>Macys - Staff</v>
          </cell>
          <cell r="G1877" t="str">
            <v>Macy</v>
          </cell>
          <cell r="H1877" t="str">
            <v>SG_07_01 Sun Glass Hut_Macys S_OWNED</v>
          </cell>
          <cell r="I1877" t="str">
            <v>0000007303 Mall at Tuttle Crossing - Macy</v>
          </cell>
          <cell r="J1877" t="str">
            <v>Department - MS</v>
          </cell>
        </row>
        <row r="1878">
          <cell r="C1878">
            <v>7307</v>
          </cell>
          <cell r="D1878" t="str">
            <v>Macy</v>
          </cell>
          <cell r="E1878" t="str">
            <v>Macy Staff</v>
          </cell>
          <cell r="F1878" t="str">
            <v>Macys - Staff</v>
          </cell>
          <cell r="G1878" t="str">
            <v>Macy</v>
          </cell>
          <cell r="H1878" t="str">
            <v>SG_07_01 Sun Glass Hut_Macys S_OWNED</v>
          </cell>
          <cell r="I1878" t="str">
            <v>0000007307 Honey Creek Mall - Macy's</v>
          </cell>
          <cell r="J1878" t="str">
            <v>Department - MS</v>
          </cell>
        </row>
        <row r="1879">
          <cell r="C1879">
            <v>7308</v>
          </cell>
          <cell r="D1879" t="str">
            <v>Macy</v>
          </cell>
          <cell r="E1879" t="str">
            <v>Macy Staff</v>
          </cell>
          <cell r="F1879" t="str">
            <v>Macys - Staff</v>
          </cell>
          <cell r="G1879" t="str">
            <v>Macy</v>
          </cell>
          <cell r="H1879" t="str">
            <v>SG_07_01 Sun Glass Hut_Macys S_OWNED</v>
          </cell>
          <cell r="I1879" t="str">
            <v>0000007308 College Mall - Macy's</v>
          </cell>
          <cell r="J1879" t="str">
            <v>Department - MS</v>
          </cell>
        </row>
        <row r="1880">
          <cell r="C1880">
            <v>7309</v>
          </cell>
          <cell r="D1880" t="str">
            <v>Macy</v>
          </cell>
          <cell r="E1880" t="str">
            <v>Macy Staff</v>
          </cell>
          <cell r="F1880" t="str">
            <v>Macys - Staff</v>
          </cell>
          <cell r="G1880" t="str">
            <v>Macy</v>
          </cell>
          <cell r="H1880" t="str">
            <v>SG_07_01 Sun Glass Hut_Macys S_OWNED</v>
          </cell>
          <cell r="I1880" t="str">
            <v>0000007309 Muncie Mall - Macy's</v>
          </cell>
          <cell r="J1880" t="str">
            <v>Department - MS</v>
          </cell>
        </row>
        <row r="1881">
          <cell r="C1881">
            <v>7315</v>
          </cell>
          <cell r="D1881" t="str">
            <v>Macy</v>
          </cell>
          <cell r="E1881" t="str">
            <v>Macy Staff</v>
          </cell>
          <cell r="F1881" t="str">
            <v>Macys - Staff</v>
          </cell>
          <cell r="G1881" t="str">
            <v>Macy</v>
          </cell>
          <cell r="H1881" t="str">
            <v>SG_07_01 Sun Glass Hut_Macys S_OWNED</v>
          </cell>
          <cell r="I1881" t="str">
            <v>0000007315 The Shoppes at Stadium - Macy'</v>
          </cell>
          <cell r="J1881" t="str">
            <v>Department - MS</v>
          </cell>
        </row>
        <row r="1882">
          <cell r="C1882">
            <v>7316</v>
          </cell>
          <cell r="D1882" t="str">
            <v>Macy</v>
          </cell>
          <cell r="E1882" t="str">
            <v>Macy Staff</v>
          </cell>
          <cell r="F1882" t="str">
            <v>Macys - Staff</v>
          </cell>
          <cell r="G1882" t="str">
            <v>Macy</v>
          </cell>
          <cell r="H1882" t="str">
            <v>SG_07_01 Sun Glass Hut_Macys S_OWNED</v>
          </cell>
          <cell r="I1882" t="str">
            <v>0000007316 Village Shopping Center - Macy</v>
          </cell>
          <cell r="J1882" t="str">
            <v>Department - MS</v>
          </cell>
        </row>
        <row r="1883">
          <cell r="C1883">
            <v>7321</v>
          </cell>
          <cell r="D1883" t="str">
            <v>Macy</v>
          </cell>
          <cell r="E1883" t="str">
            <v>Macy Staff</v>
          </cell>
          <cell r="F1883" t="str">
            <v>Macys - Staff</v>
          </cell>
          <cell r="G1883" t="str">
            <v>Macy</v>
          </cell>
          <cell r="H1883" t="str">
            <v>SG_07_01 Sun Glass Hut_Macys S_OWNED</v>
          </cell>
          <cell r="I1883" t="str">
            <v>0000007321 Beaver Valley Mall - Macy's</v>
          </cell>
          <cell r="J1883" t="str">
            <v>Department - MS</v>
          </cell>
        </row>
        <row r="1884">
          <cell r="C1884">
            <v>7322</v>
          </cell>
          <cell r="D1884" t="str">
            <v>Macy</v>
          </cell>
          <cell r="E1884" t="str">
            <v>Macy Staff</v>
          </cell>
          <cell r="F1884" t="str">
            <v>Macys - Staff</v>
          </cell>
          <cell r="G1884" t="str">
            <v>Macy</v>
          </cell>
          <cell r="H1884" t="str">
            <v>SG_07_01 Sun Glass Hut_Macys S_OWNED</v>
          </cell>
          <cell r="I1884" t="str">
            <v>0000007322 Logan Valley Mall - Macy's</v>
          </cell>
          <cell r="J1884" t="str">
            <v>Department - MS</v>
          </cell>
        </row>
        <row r="1885">
          <cell r="C1885">
            <v>7323</v>
          </cell>
          <cell r="D1885" t="str">
            <v>Macy</v>
          </cell>
          <cell r="E1885" t="str">
            <v>Macy Staff</v>
          </cell>
          <cell r="F1885" t="str">
            <v>Macys - Staff</v>
          </cell>
          <cell r="G1885" t="str">
            <v>Macy</v>
          </cell>
          <cell r="H1885" t="str">
            <v>SG_07_01 Sun Glass Hut_Macys S_OWNED</v>
          </cell>
          <cell r="I1885" t="str">
            <v>0000007323 Shenango Valley Mall - Macy's</v>
          </cell>
          <cell r="J1885" t="str">
            <v>Department - MS</v>
          </cell>
        </row>
        <row r="1886">
          <cell r="C1886">
            <v>7324</v>
          </cell>
          <cell r="D1886" t="str">
            <v>Macy</v>
          </cell>
          <cell r="E1886" t="str">
            <v>Macy Staff</v>
          </cell>
          <cell r="F1886" t="str">
            <v>Macys - Staff</v>
          </cell>
          <cell r="G1886" t="str">
            <v>Macy</v>
          </cell>
          <cell r="H1886" t="str">
            <v>SG_07_01 Sun Glass Hut_Macys S_OWNED</v>
          </cell>
          <cell r="I1886" t="str">
            <v>0000007324 The Waterfront - Macy's</v>
          </cell>
          <cell r="J1886" t="str">
            <v>Department - MS</v>
          </cell>
        </row>
        <row r="1887">
          <cell r="C1887">
            <v>7325</v>
          </cell>
          <cell r="D1887" t="str">
            <v>Macy</v>
          </cell>
          <cell r="E1887" t="str">
            <v>Macy Staff</v>
          </cell>
          <cell r="F1887" t="str">
            <v>Macys - Staff</v>
          </cell>
          <cell r="G1887" t="str">
            <v>Macy</v>
          </cell>
          <cell r="H1887" t="str">
            <v>SG_07_01 Sun Glass Hut_Macys S_OWNED</v>
          </cell>
          <cell r="I1887" t="str">
            <v>0000007325 Eastwood Mall - Macy's</v>
          </cell>
          <cell r="J1887" t="str">
            <v>Department - MS</v>
          </cell>
        </row>
        <row r="1888">
          <cell r="C1888">
            <v>7328</v>
          </cell>
          <cell r="D1888" t="str">
            <v>Macy</v>
          </cell>
          <cell r="E1888" t="str">
            <v>Macy Staff</v>
          </cell>
          <cell r="F1888" t="str">
            <v>Macys - Staff</v>
          </cell>
          <cell r="G1888" t="str">
            <v>Macy</v>
          </cell>
          <cell r="H1888" t="str">
            <v>SG_07_01 Sun Glass Hut_Macys S_OWNED</v>
          </cell>
          <cell r="I1888" t="str">
            <v>0000007328 Wyoming Valley Mall - Macy's</v>
          </cell>
          <cell r="J1888" t="str">
            <v>Department - MS</v>
          </cell>
        </row>
        <row r="1889">
          <cell r="C1889">
            <v>7329</v>
          </cell>
          <cell r="D1889" t="str">
            <v>Macy</v>
          </cell>
          <cell r="E1889" t="str">
            <v>Macy Staff</v>
          </cell>
          <cell r="F1889" t="str">
            <v>Macys - Staff</v>
          </cell>
          <cell r="G1889" t="str">
            <v>Macy</v>
          </cell>
          <cell r="H1889" t="str">
            <v>SG_07_01 Sun Glass Hut_Macys S_OWNED</v>
          </cell>
          <cell r="I1889" t="str">
            <v>0000007329 Wyoming Valley Mall - Macy's</v>
          </cell>
          <cell r="J1889" t="str">
            <v>Department - MS</v>
          </cell>
        </row>
        <row r="1890">
          <cell r="C1890">
            <v>7330</v>
          </cell>
          <cell r="D1890" t="str">
            <v>Macy</v>
          </cell>
          <cell r="E1890" t="str">
            <v>Macy Staff</v>
          </cell>
          <cell r="F1890" t="str">
            <v>Macys - Staff</v>
          </cell>
          <cell r="G1890" t="str">
            <v>Macy</v>
          </cell>
          <cell r="H1890" t="str">
            <v>SG_07_01 Sun Glass Hut_Macys S_OWNED</v>
          </cell>
          <cell r="I1890" t="str">
            <v>0000007330 Lycoming Mall - Macy's</v>
          </cell>
          <cell r="J1890" t="str">
            <v>Department - MS</v>
          </cell>
        </row>
        <row r="1891">
          <cell r="C1891">
            <v>7331</v>
          </cell>
          <cell r="D1891" t="str">
            <v>Macy</v>
          </cell>
          <cell r="E1891" t="str">
            <v>Macy Staff</v>
          </cell>
          <cell r="F1891" t="str">
            <v>Macys - Staff</v>
          </cell>
          <cell r="G1891" t="str">
            <v>Macy</v>
          </cell>
          <cell r="H1891" t="str">
            <v>SG_07_01 Sun Glass Hut_Macys S_OWNED</v>
          </cell>
          <cell r="I1891" t="str">
            <v>0000007331 Washington Crown Center - Macy</v>
          </cell>
          <cell r="J1891" t="str">
            <v>Department - MS</v>
          </cell>
        </row>
        <row r="1892">
          <cell r="C1892">
            <v>7332</v>
          </cell>
          <cell r="D1892" t="str">
            <v>Macy</v>
          </cell>
          <cell r="E1892" t="str">
            <v>Macy Staff</v>
          </cell>
          <cell r="F1892" t="str">
            <v>Macys - Staff</v>
          </cell>
          <cell r="G1892" t="str">
            <v>Macy</v>
          </cell>
          <cell r="H1892" t="str">
            <v>SG_07_01 Sun Glass Hut_Macys S_OWNED</v>
          </cell>
          <cell r="I1892" t="str">
            <v>0000007332 Nittany Mall - Macy's</v>
          </cell>
          <cell r="J1892" t="str">
            <v>Department - MS</v>
          </cell>
        </row>
        <row r="1893">
          <cell r="C1893">
            <v>7333</v>
          </cell>
          <cell r="D1893" t="str">
            <v>Macy</v>
          </cell>
          <cell r="E1893" t="str">
            <v>Macy Staff</v>
          </cell>
          <cell r="F1893" t="str">
            <v>Macys - Staff</v>
          </cell>
          <cell r="G1893" t="str">
            <v>Macy</v>
          </cell>
          <cell r="H1893" t="str">
            <v>SG_07_01 Sun Glass Hut_Macys S_OWNED</v>
          </cell>
          <cell r="I1893" t="str">
            <v>0000007333 Ohio Valley Mall - Macy's</v>
          </cell>
          <cell r="J1893" t="str">
            <v>Department - MS</v>
          </cell>
        </row>
        <row r="1894">
          <cell r="C1894">
            <v>7334</v>
          </cell>
          <cell r="D1894" t="str">
            <v>Macy</v>
          </cell>
          <cell r="E1894" t="str">
            <v>Macy Staff</v>
          </cell>
          <cell r="F1894" t="str">
            <v>Macys - Staff</v>
          </cell>
          <cell r="G1894" t="str">
            <v>Macy</v>
          </cell>
          <cell r="H1894" t="str">
            <v>SG_07_01 Sun Glass Hut_Macys S_OWNED</v>
          </cell>
          <cell r="I1894" t="str">
            <v>0000007334 Fort Steuben Mall - Macy's</v>
          </cell>
          <cell r="J1894" t="str">
            <v>Department - MS</v>
          </cell>
        </row>
        <row r="1895">
          <cell r="C1895">
            <v>7337</v>
          </cell>
          <cell r="D1895" t="str">
            <v>Macy</v>
          </cell>
          <cell r="E1895" t="str">
            <v>Macy Staff</v>
          </cell>
          <cell r="F1895" t="str">
            <v>Macys - Staff</v>
          </cell>
          <cell r="G1895" t="str">
            <v>Macy</v>
          </cell>
          <cell r="H1895" t="str">
            <v>SG_07_01 Sun Glass Hut_Macys S_OWNED</v>
          </cell>
          <cell r="I1895" t="str">
            <v>0000007337 Market Place Shopping Ctr - Ma</v>
          </cell>
          <cell r="J1895" t="str">
            <v>Department - MS</v>
          </cell>
        </row>
        <row r="1896">
          <cell r="C1896">
            <v>7338</v>
          </cell>
          <cell r="D1896" t="str">
            <v>Macy</v>
          </cell>
          <cell r="E1896" t="str">
            <v>Macy Staff</v>
          </cell>
          <cell r="F1896" t="str">
            <v>Macys - Staff</v>
          </cell>
          <cell r="G1896" t="str">
            <v>Macy</v>
          </cell>
          <cell r="H1896" t="str">
            <v>SG_07_01 Sun Glass Hut_Macys S_OWNED</v>
          </cell>
          <cell r="I1896" t="str">
            <v>0000007338 Alton Square Mall - Macy's</v>
          </cell>
          <cell r="J1896" t="str">
            <v>Department - MS</v>
          </cell>
        </row>
        <row r="1897">
          <cell r="C1897">
            <v>7340</v>
          </cell>
          <cell r="D1897" t="str">
            <v>Macy</v>
          </cell>
          <cell r="E1897" t="str">
            <v>Macy Staff</v>
          </cell>
          <cell r="F1897" t="str">
            <v>Macys - Staff</v>
          </cell>
          <cell r="G1897" t="str">
            <v>Macy</v>
          </cell>
          <cell r="H1897" t="str">
            <v>SG_07_01 Sun Glass Hut_Macys S_OWNED</v>
          </cell>
          <cell r="I1897" t="str">
            <v>0000007340 Eastland Mall - Macy's</v>
          </cell>
          <cell r="J1897" t="str">
            <v>Department - MS</v>
          </cell>
        </row>
        <row r="1898">
          <cell r="C1898">
            <v>7342</v>
          </cell>
          <cell r="D1898" t="str">
            <v>Macy</v>
          </cell>
          <cell r="E1898" t="str">
            <v>Macy Staff</v>
          </cell>
          <cell r="F1898" t="str">
            <v>Macys - Staff</v>
          </cell>
          <cell r="G1898" t="str">
            <v>Macy</v>
          </cell>
          <cell r="H1898" t="str">
            <v>SG_07_01 Sun Glass Hut_Macys S_OWNED</v>
          </cell>
          <cell r="I1898" t="str">
            <v>0000007342 University Mall - Macy's</v>
          </cell>
          <cell r="J1898" t="str">
            <v>Department - MS</v>
          </cell>
        </row>
        <row r="1899">
          <cell r="C1899">
            <v>7343</v>
          </cell>
          <cell r="D1899" t="str">
            <v>Macy</v>
          </cell>
          <cell r="E1899" t="str">
            <v>Macy Staff</v>
          </cell>
          <cell r="F1899" t="str">
            <v>Macys - Staff</v>
          </cell>
          <cell r="G1899" t="str">
            <v>Macy</v>
          </cell>
          <cell r="H1899" t="str">
            <v>SG_07_01 Sun Glass Hut_Macys S_OWNED</v>
          </cell>
          <cell r="I1899" t="str">
            <v>0000007343 Towne Square Mall - Macy's</v>
          </cell>
          <cell r="J1899" t="str">
            <v>Department - MS</v>
          </cell>
        </row>
      </sheetData>
      <sheetData sheetId="16"/>
      <sheetData sheetId="17"/>
      <sheetData sheetId="1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300972-822C-4DE1-BA9E-0B7BA474C158}" name="Table1" displayName="Table1" ref="A6:BK178" totalsRowCount="1" headerRowDxfId="124">
  <autoFilter ref="A6:BK177" xr:uid="{43300972-822C-4DE1-BA9E-0B7BA474C158}"/>
  <sortState xmlns:xlrd2="http://schemas.microsoft.com/office/spreadsheetml/2017/richdata2" ref="A7:BK177">
    <sortCondition ref="AQ6:AQ177"/>
  </sortState>
  <tableColumns count="63">
    <tableColumn id="1" xr3:uid="{77E093A4-A3F3-4461-8202-E89EF7771A32}" name="BPS #" totalsRowLabel="Total" dataDxfId="123" totalsRowDxfId="122" dataCellStyle="Normal 19"/>
    <tableColumn id="2" xr3:uid="{E1BE520E-1D7E-45C4-8151-DE93E5009F9C}" name="STORE #" totalsRowFunction="count" dataDxfId="121" totalsRowDxfId="120" dataCellStyle="Normal 19"/>
    <tableColumn id="3" xr3:uid="{F1F652E0-DF8A-4136-ACA5-A1AA47DA4358}" name="TITLE" dataDxfId="119" totalsRowDxfId="118" dataCellStyle="Normal 19"/>
    <tableColumn id="4" xr3:uid="{91D25E4F-5054-4565-9564-665DAB3DE691}" name="ADDRESS" dataDxfId="117" totalsRowDxfId="116" dataCellStyle="Normal 19"/>
    <tableColumn id="5" xr3:uid="{FEBD136B-B54B-4F0E-877E-7320D4FE5967}" name="CITY" dataDxfId="115" totalsRowDxfId="114" dataCellStyle="Normal 19"/>
    <tableColumn id="6" xr3:uid="{924E9F0A-449F-460F-8BA7-C0C86F68B00A}" name="STATE" dataDxfId="113" totalsRowDxfId="112" dataCellStyle="Normal 19"/>
    <tableColumn id="7" xr3:uid="{C6A9E9F8-2370-411B-B598-2ED7ECFFB0A1}" name="ZIP" dataDxfId="111" totalsRowDxfId="110" dataCellStyle="Normal 19"/>
    <tableColumn id="8" xr3:uid="{8DB0D74D-33DF-42B3-A4EA-7DA714560628}" name="COUNTRY" dataDxfId="109" totalsRowDxfId="108" dataCellStyle="Normal 19"/>
    <tableColumn id="9" xr3:uid="{8F8AD1F6-8FD0-497A-8D8B-F06610108A3E}" name="REGION" dataDxfId="107" totalsRowDxfId="106" dataCellStyle="Normal 19"/>
    <tableColumn id="10" xr3:uid="{CC8853E5-4807-4DC4-9229-DF625B46215F}" name="PHONE" dataDxfId="105" totalsRowDxfId="104" dataCellStyle="Normal 19"/>
    <tableColumn id="11" xr3:uid="{DCB41BCE-80E0-44F6-B142-29927B97ED82}" name="REGIONAL MANAGER" dataDxfId="103" totalsRowDxfId="102" dataCellStyle="Normal 19"/>
    <tableColumn id="12" xr3:uid="{2B8AA065-F99E-4C58-BA3F-8F725B4EA809}" name="SQ. FT." dataDxfId="101" totalsRowDxfId="100" dataCellStyle="Normal 19"/>
    <tableColumn id="13" xr3:uid="{F223591D-AF83-4075-94FF-4CD18D0CEF5A}" name="STORE DESIGN" dataDxfId="99" totalsRowDxfId="98" dataCellStyle="Normal 19"/>
    <tableColumn id="14" xr3:uid="{70091237-ED64-444B-82BC-0CCA062191C4}" name="NRR OPENING DATE" dataDxfId="97" totalsRowDxfId="96" dataCellStyle="Normal 19"/>
    <tableColumn id="15" xr3:uid="{36415030-365F-4609-BC0A-997A694F2FD1}" name="HAVEN FIXTURE" dataDxfId="95" totalsRowDxfId="94" dataCellStyle="Normal 19"/>
    <tableColumn id="16" xr3:uid="{3635F7EA-E56C-4168-A06B-F744068982C6}" name="OLD FIXTURE_x000a_Cocoons Fixture (Y/N)" dataDxfId="93" totalsRowDxfId="92" dataCellStyle="Normal 19"/>
    <tableColumn id="17" xr3:uid="{49191E45-61D2-4FFD-B1E0-53CF4D1AA8CF}" name="OAKLEY REPLACEMENT _x000a_LENS FIXTURE (Y/N)" dataDxfId="91" totalsRowDxfId="90" dataCellStyle="Normal 19"/>
    <tableColumn id="18" xr3:uid="{F889210F-4923-4253-B038-23279F937423}" name="DIGITAL BOX" dataDxfId="89" totalsRowDxfId="88" dataCellStyle="Normal 19"/>
    <tableColumn id="19" xr3:uid="{A8F1AE57-70B9-40B5-B532-3779B32396B8}" name="TYPE OF WALLS (Single, Double, Triple)" dataDxfId="87" totalsRowDxfId="86" dataCellStyle="Normal 19"/>
    <tableColumn id="20" xr3:uid="{2EA378A8-BEA2-41F1-9630-B4D161DBC9AB}" name="# Of WALLS" dataDxfId="85" totalsRowDxfId="84" dataCellStyle="Normal 19"/>
    <tableColumn id="21" xr3:uid="{27195405-F464-43BF-88A0-ABA3F591DF40}" name="# GONDOLAS" dataDxfId="83" totalsRowDxfId="82" dataCellStyle="Normal 19"/>
    <tableColumn id="22" xr3:uid="{B788BCA5-3601-40F1-B379-3147E1680D68}" name="# CAPACITY/_x000a_PROMO TABLES" dataDxfId="81" totalsRowDxfId="80" dataCellStyle="Normal 19"/>
    <tableColumn id="23" xr3:uid="{2F4EEBC1-0913-4CF4-9F32-E1EBAB6B46CA}" name="# LIGHT BOXES " dataDxfId="79" totalsRowDxfId="78" dataCellStyle="Normal 19"/>
    <tableColumn id="24" xr3:uid="{CB403CA8-432A-4977-8209-283DA7D4F9E2}" name="LIGHTBOX GRAPHIC DIMENSIONS #1" dataDxfId="77" totalsRowDxfId="76"/>
    <tableColumn id="25" xr3:uid="{838318D9-75FB-4C42-B62B-977AEE480999}" name="LIGHTBOX GRAPHIC DIMENSIONS #2" dataDxfId="75" totalsRowDxfId="74" dataCellStyle="Normal 19"/>
    <tableColumn id="26" xr3:uid="{BCF57E52-C029-4CBB-BBF0-87B6D26B9EE2}" name="LIGHTBOX GRAPHIC DIMENSIONS #3" dataDxfId="73" totalsRowDxfId="72" dataCellStyle="Normal 19"/>
    <tableColumn id="27" xr3:uid="{430C4C35-68F7-4900-878C-9F1C947042CE}" name="LIGHTBOX GRAPHIC DIMENSIONS #4" dataDxfId="71" totalsRowDxfId="70" dataCellStyle="Normal 19"/>
    <tableColumn id="28" xr3:uid="{EA7B54B7-7D0A-4AD8-AF65-5226247494C3}" name="METAL LOGO PLATES_x000a_Y/N?" dataDxfId="69" totalsRowDxfId="68" dataCellStyle="Normal 19"/>
    <tableColumn id="29" xr3:uid="{A3D2845B-6C06-4F30-95DE-0AD3826BFE06}" name="ACCESSORIES LOCATION" dataDxfId="67" totalsRowDxfId="66" dataCellStyle="Normal 19"/>
    <tableColumn id="30" xr3:uid="{0B66573A-DD32-4302-8EA8-17CE4281DE46}" name="STUDIO / BURN" dataDxfId="65" totalsRowDxfId="64" dataCellStyle="Normal 19"/>
    <tableColumn id="31" xr3:uid="{8D61B2A3-FFD2-4CEE-9CFE-5885256F5892}" name="SALT OR FRESH" dataDxfId="63" totalsRowDxfId="62"/>
    <tableColumn id="32" xr3:uid="{DE0B7A9B-017E-41C9-AB90-48E7FE570040}" name="OO OR COSTA LEADING" dataDxfId="61" totalsRowDxfId="60" dataCellStyle="Normal 19"/>
    <tableColumn id="33" xr3:uid="{7FD9C826-6940-4B93-A8A4-E795643DF47A}" name="REMODELED" dataDxfId="59" totalsRowDxfId="58" dataCellStyle="Normal 19"/>
    <tableColumn id="34" xr3:uid="{8C51C193-8759-4FB7-B343-A0175EB16602}" name="ACTUAL CAPACITY" dataDxfId="57" totalsRowDxfId="56" dataCellStyle="Normal 19"/>
    <tableColumn id="35" xr3:uid="{DC570895-6E74-4517-A500-D67D002F550E}" name="LOW/MEDIUM RISK CAPACITY" dataDxfId="55" totalsRowDxfId="54" dataCellStyle="Normal 19"/>
    <tableColumn id="36" xr3:uid="{7D689C84-76D2-4AF2-B4D3-E1C632F5D709}" name="IDEAL CAPACITY" dataDxfId="53" totalsRowDxfId="52" dataCellStyle="Normal 19"/>
    <tableColumn id="37" xr3:uid="{D20AB11E-A17D-4051-85F1-04C13E5DA8F5}" name="GONDOLA COUVETTES" dataDxfId="51" totalsRowDxfId="50" dataCellStyle="Normal 19"/>
    <tableColumn id="38" xr3:uid="{8A4B8ADF-A152-4625-BB42-40D0D1733B0F}" name="(RUST) LOGO HOLDER COUVETTE" dataDxfId="49" totalsRowDxfId="48" dataCellStyle="Normal 19"/>
    <tableColumn id="39" xr3:uid="{5869C983-FC02-4746-8E45-582994518169}" name="2 SKU DISPLAY_x000a_3039142" dataDxfId="47" totalsRowDxfId="46" dataCellStyle="Normal 19"/>
    <tableColumn id="40" xr3:uid="{83B1745B-0B06-4414-B61D-9EA89D9F23C2}" name="3 SKU DISPLAY_x000a_3039140" dataDxfId="45" totalsRowDxfId="44" dataCellStyle="Normal 19"/>
    <tableColumn id="41" xr3:uid="{BF215A63-AB44-464F-A9EF-BA15D02CA573}" name="SADDLE_x000a_3039143" dataDxfId="43" totalsRowDxfId="42" dataCellStyle="Normal 19"/>
    <tableColumn id="42" xr3:uid="{5CCD1E19-BA95-4B38-A14B-A5A2E7EA36A1}" name="6X2.8 " dataDxfId="41" totalsRowDxfId="40"/>
    <tableColumn id="43" xr3:uid="{27662CBB-3292-4AFE-9C48-F037ACD8CA20}" name="5x5 TOOL" dataDxfId="39" totalsRowDxfId="38" dataCellStyle="Normal 19"/>
    <tableColumn id="44" xr3:uid="{15A46493-2F2D-47D5-8320-1F8BC684F775}" name="4x4 BLOCK" dataDxfId="37" totalsRowDxfId="36" dataCellStyle="Normal 19"/>
    <tableColumn id="45" xr3:uid="{26B39243-3FA2-4D5F-B53D-36CA73E3D8FB}" name="MIRROR_x000a_3039145" dataDxfId="35" totalsRowDxfId="34" dataCellStyle="Normal 19"/>
    <tableColumn id="46" xr3:uid="{10899E51-9B79-4AB5-84BE-C12CD73A6049}" name="HOOKS_x000a_3039146" dataDxfId="33" totalsRowDxfId="32" dataCellStyle="Normal 19"/>
    <tableColumn id="47" xr3:uid="{BCCF8F94-621A-4EAE-9CA8-5A1534D115C2}" name="TRAY_x000a_3039147" dataDxfId="31" totalsRowDxfId="30" dataCellStyle="Normal 19"/>
    <tableColumn id="48" xr3:uid="{2D476964-6482-49AB-AD9A-8C0D9149D730}" name="OPEN METAL BOX_x000a_3039148" dataDxfId="29" totalsRowDxfId="28" dataCellStyle="Normal 19"/>
    <tableColumn id="49" xr3:uid="{38020C44-A2E2-4663-A175-76CEFFD3796F}" name="OPEN PLEXI BOX_x000a_3039149" dataDxfId="27" totalsRowDxfId="26" dataCellStyle="Normal 19"/>
    <tableColumn id="50" xr3:uid="{9448865B-DDD0-46E0-ABAE-54F989F9C5F7}" name="HYBRID GLORIFIERS_x000a_7.87&quot;x1.09&quot;"/>
    <tableColumn id="51" xr3:uid="{C0E45349-4A9F-47DA-BA8B-C9BC72C54DB2}" name="L-TOOLS_x000a_6.75&quot; x 1.28&quot;" dataDxfId="25" totalsRowDxfId="24" dataCellStyle="Normal 19"/>
    <tableColumn id="52" xr3:uid="{A30AAA27-37A2-44EE-986F-8D16F804735B}" name="METAL GLORIFIER" dataDxfId="23" totalsRowDxfId="22" dataCellStyle="Normal 19"/>
    <tableColumn id="53" xr3:uid="{637075E5-13C0-46EC-81F5-877F3B539D37}" name="METAL CLIP_x000a_(pack of 10)_x000a_3039152" dataDxfId="21" totalsRowDxfId="20" dataCellStyle="Normal 19"/>
    <tableColumn id="54" xr3:uid="{F2A74D96-169F-4555-9C7A-5D1D55E02617}" name="BOUY_x000a_3039153" dataDxfId="19" totalsRowDxfId="18" dataCellStyle="Normal 19"/>
    <tableColumn id="55" xr3:uid="{8BE8E12F-1F4C-4EE3-A591-37C19E849B86}" name="RB SUPERNOVA" dataDxfId="17" totalsRowDxfId="16" dataCellStyle="Normal 19"/>
    <tableColumn id="56" xr3:uid="{3C9C35A1-E672-40A3-8F8D-985FC6A0C715}" name="* BEING REMOVED 10/2023*_x000a_RB STORIES" dataDxfId="15" totalsRowDxfId="14" dataCellStyle="Normal 19"/>
    <tableColumn id="57" xr3:uid="{18D59AD5-7C47-4642-B61C-FD789F2962EE}" name="Column1" dataDxfId="13" totalsRowDxfId="12" dataCellStyle="Normal 19"/>
    <tableColumn id="58" xr3:uid="{6718CABE-A258-4C6A-A618-E9AA6D3B56D1}" name=" " dataDxfId="11" totalsRowDxfId="10" dataCellStyle="Normal 19"/>
    <tableColumn id="59" xr3:uid="{274FCC4D-93E1-4453-9971-2C781CAC770E}" name="CODE #" dataDxfId="9" totalsRowDxfId="8" dataCellStyle="Normal 19"/>
    <tableColumn id="60" xr3:uid="{49B08165-9F3D-43DF-8F48-0463766B9E47}" name="POLAR &amp; ADDT'L PAIR TIERED OFFER SIGNS" dataDxfId="7" totalsRowDxfId="6" dataCellStyle="Normal 19"/>
    <tableColumn id="61" xr3:uid="{D6C723D1-9446-41CF-B396-BFB08328735D}" name="SGO 24-001-01" totalsRowFunction="sum" dataDxfId="5" totalsRowDxfId="4"/>
    <tableColumn id="62" xr3:uid="{60F6031B-5760-436F-8383-6C001C09F482}" name="SGO 24-001-02" totalsRowFunction="sum" dataDxfId="3" totalsRowDxfId="2"/>
    <tableColumn id="63" xr3:uid="{DB0FF85F-EB2A-4633-8645-59E1EE4A7272}" name="SGO 24-001-03" totalsRowFunction="sum" dataDxfId="1" totalsRowDxfId="0" dataCellStyle="Normal 1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  <pageSetUpPr fitToPage="1"/>
  </sheetPr>
  <dimension ref="A1:U27"/>
  <sheetViews>
    <sheetView tabSelected="1" zoomScale="80" zoomScaleNormal="80" workbookViewId="0">
      <pane xSplit="1" topLeftCell="D1" activePane="topRight" state="frozen"/>
      <selection pane="topRight" activeCell="I16" sqref="I16"/>
    </sheetView>
  </sheetViews>
  <sheetFormatPr defaultColWidth="11.42578125" defaultRowHeight="13.5"/>
  <cols>
    <col min="1" max="1" width="57" style="1" bestFit="1" customWidth="1"/>
    <col min="2" max="2" width="17.85546875" style="1" customWidth="1"/>
    <col min="3" max="3" width="51" style="28" customWidth="1"/>
    <col min="4" max="4" width="10.140625" style="1" bestFit="1" customWidth="1"/>
    <col min="5" max="5" width="35.42578125" style="1" customWidth="1"/>
    <col min="6" max="7" width="14.5703125" style="1" customWidth="1"/>
    <col min="8" max="8" width="17.85546875" style="1" customWidth="1"/>
    <col min="9" max="9" width="23.140625" style="1" customWidth="1"/>
    <col min="10" max="10" width="21.42578125" style="1" customWidth="1"/>
    <col min="11" max="12" width="13.7109375" style="1" customWidth="1"/>
    <col min="13" max="13" width="13.140625" style="1" customWidth="1"/>
    <col min="14" max="14" width="12.140625" style="1" customWidth="1"/>
    <col min="15" max="15" width="14" style="1" customWidth="1"/>
    <col min="16" max="16" width="11.85546875" style="1" customWidth="1"/>
    <col min="17" max="17" width="10.42578125" style="1" customWidth="1"/>
    <col min="18" max="18" width="12" style="1" customWidth="1"/>
    <col min="19" max="19" width="53.28515625" style="28" customWidth="1"/>
    <col min="20" max="20" width="19.42578125" style="1" customWidth="1"/>
    <col min="21" max="21" width="57.28515625" style="28" customWidth="1"/>
    <col min="22" max="16384" width="11.42578125" style="1"/>
  </cols>
  <sheetData>
    <row r="1" spans="1:21" s="2" customFormat="1" ht="12.75">
      <c r="A1" s="21" t="s">
        <v>49</v>
      </c>
      <c r="B1" s="5"/>
      <c r="C1" s="8"/>
      <c r="D1" s="5"/>
      <c r="E1" s="6"/>
      <c r="F1" s="8"/>
      <c r="G1" s="8"/>
      <c r="H1" s="8"/>
      <c r="I1" s="8"/>
      <c r="J1" s="8"/>
      <c r="K1" s="7"/>
      <c r="L1" s="7"/>
      <c r="M1" s="7"/>
      <c r="N1" s="8"/>
      <c r="O1" s="8"/>
      <c r="P1" s="8"/>
      <c r="Q1" s="8"/>
      <c r="R1" s="8"/>
      <c r="S1" s="8"/>
      <c r="T1" s="8"/>
      <c r="U1" s="8"/>
    </row>
    <row r="2" spans="1:21" s="2" customFormat="1" ht="12.75">
      <c r="A2" s="5"/>
      <c r="B2" s="5"/>
      <c r="C2" s="8"/>
      <c r="D2" s="5"/>
      <c r="E2" s="5"/>
      <c r="F2" s="8"/>
      <c r="G2" s="8"/>
      <c r="H2" s="8"/>
      <c r="I2" s="8"/>
      <c r="J2" s="8"/>
      <c r="K2" s="7"/>
      <c r="L2" s="7"/>
      <c r="M2" s="7"/>
      <c r="N2" s="8"/>
      <c r="O2" s="8"/>
      <c r="P2" s="8"/>
      <c r="Q2" s="8"/>
      <c r="R2" s="8"/>
      <c r="S2" s="8"/>
      <c r="T2" s="8"/>
      <c r="U2" s="8"/>
    </row>
    <row r="3" spans="1:21" s="2" customFormat="1" ht="12.75">
      <c r="A3" s="21" t="s">
        <v>0</v>
      </c>
      <c r="B3" s="26" t="s">
        <v>1</v>
      </c>
      <c r="C3" s="8"/>
      <c r="D3" s="5"/>
      <c r="E3" s="5"/>
      <c r="F3" s="8"/>
      <c r="G3" s="8"/>
      <c r="H3" s="8"/>
      <c r="I3" s="8"/>
      <c r="J3" s="8"/>
      <c r="K3" s="7"/>
      <c r="L3" s="7"/>
      <c r="M3" s="7"/>
      <c r="N3" s="8"/>
      <c r="O3" s="8"/>
      <c r="P3" s="8"/>
      <c r="Q3" s="8"/>
      <c r="R3" s="8"/>
      <c r="S3" s="8"/>
      <c r="T3" s="8"/>
      <c r="U3" s="8"/>
    </row>
    <row r="4" spans="1:21" s="2" customFormat="1" ht="12.75">
      <c r="A4" s="21" t="s">
        <v>51</v>
      </c>
      <c r="B4" s="25" t="s">
        <v>47</v>
      </c>
      <c r="C4" s="8"/>
      <c r="D4" s="5"/>
      <c r="E4" s="5"/>
      <c r="F4" s="8"/>
      <c r="G4" s="8"/>
      <c r="H4" s="8"/>
      <c r="I4" s="8"/>
      <c r="J4" s="8"/>
      <c r="K4" s="7"/>
      <c r="L4" s="7"/>
      <c r="M4" s="7"/>
      <c r="N4" s="8"/>
      <c r="O4" s="8"/>
      <c r="P4" s="8"/>
      <c r="Q4" s="8"/>
      <c r="R4" s="8"/>
      <c r="S4" s="8"/>
      <c r="T4" s="8"/>
      <c r="U4" s="8"/>
    </row>
    <row r="5" spans="1:21" s="2" customFormat="1" ht="12.75">
      <c r="A5" s="41" t="s">
        <v>52</v>
      </c>
      <c r="B5" s="25" t="s">
        <v>48</v>
      </c>
      <c r="C5" s="8"/>
      <c r="D5" s="5"/>
      <c r="E5" s="5"/>
      <c r="F5" s="8"/>
      <c r="G5" s="8"/>
      <c r="H5" s="8"/>
      <c r="I5" s="8"/>
      <c r="J5" s="8"/>
      <c r="K5" s="7"/>
      <c r="L5" s="7"/>
      <c r="M5" s="7"/>
      <c r="N5" s="8"/>
      <c r="O5" s="8"/>
      <c r="P5" s="8"/>
      <c r="Q5" s="8"/>
      <c r="R5" s="8"/>
      <c r="S5" s="8"/>
      <c r="T5" s="8"/>
      <c r="U5" s="8"/>
    </row>
    <row r="6" spans="1:21" s="2" customFormat="1" ht="12.75">
      <c r="A6" s="21" t="s">
        <v>53</v>
      </c>
      <c r="B6" s="25" t="s">
        <v>50</v>
      </c>
      <c r="C6" s="8"/>
      <c r="D6" s="5"/>
      <c r="E6" s="5"/>
      <c r="F6" s="8"/>
      <c r="G6" s="8"/>
      <c r="H6" s="8"/>
      <c r="I6" s="8"/>
      <c r="J6" s="8"/>
      <c r="K6" s="7"/>
      <c r="L6" s="7"/>
      <c r="M6" s="7"/>
      <c r="N6" s="8"/>
      <c r="O6" s="8"/>
      <c r="P6" s="8"/>
      <c r="Q6" s="8"/>
      <c r="R6" s="8"/>
      <c r="S6" s="8"/>
      <c r="T6" s="8"/>
      <c r="U6" s="8"/>
    </row>
    <row r="7" spans="1:21" s="2" customFormat="1" ht="12.75">
      <c r="A7" s="41" t="s">
        <v>54</v>
      </c>
      <c r="B7" s="25" t="s">
        <v>2</v>
      </c>
      <c r="C7" s="8"/>
      <c r="D7" s="5"/>
      <c r="E7" s="5"/>
      <c r="F7" s="8"/>
      <c r="G7" s="8"/>
      <c r="H7" s="8"/>
      <c r="I7" s="8"/>
      <c r="J7" s="8"/>
      <c r="K7" s="7"/>
      <c r="L7" s="7"/>
      <c r="M7" s="7"/>
      <c r="N7" s="8"/>
      <c r="O7" s="8"/>
      <c r="P7" s="8"/>
      <c r="Q7" s="8"/>
      <c r="R7" s="8"/>
      <c r="S7" s="8"/>
      <c r="T7" s="8"/>
      <c r="U7" s="8"/>
    </row>
    <row r="8" spans="1:21" s="2" customFormat="1" ht="12.75">
      <c r="A8" s="21" t="s">
        <v>55</v>
      </c>
      <c r="B8" s="8"/>
      <c r="C8" s="8"/>
      <c r="D8" s="5"/>
      <c r="E8" s="5"/>
      <c r="F8" s="10"/>
      <c r="G8" s="10"/>
      <c r="H8" s="10"/>
      <c r="I8" s="10"/>
      <c r="J8" s="10"/>
      <c r="K8" s="7"/>
      <c r="L8" s="7"/>
      <c r="M8" s="7"/>
      <c r="N8" s="8"/>
      <c r="O8" s="8"/>
      <c r="P8" s="8"/>
      <c r="Q8" s="8"/>
      <c r="R8" s="8"/>
      <c r="S8" s="8"/>
      <c r="T8" s="8"/>
      <c r="U8" s="8"/>
    </row>
    <row r="9" spans="1:21" s="2" customFormat="1" ht="12.75">
      <c r="A9" s="21" t="s">
        <v>56</v>
      </c>
      <c r="B9" s="5"/>
      <c r="C9" s="8"/>
      <c r="D9" s="5"/>
      <c r="E9" s="5"/>
      <c r="F9" s="10"/>
      <c r="G9" s="10"/>
      <c r="H9" s="10"/>
      <c r="I9" s="10"/>
      <c r="J9" s="10"/>
      <c r="K9" s="7"/>
      <c r="L9" s="7"/>
      <c r="M9" s="7"/>
      <c r="N9" s="8"/>
      <c r="O9" s="8"/>
      <c r="P9" s="8"/>
      <c r="Q9" s="8"/>
      <c r="R9" s="8"/>
      <c r="S9" s="8"/>
      <c r="T9" s="8"/>
      <c r="U9" s="8"/>
    </row>
    <row r="10" spans="1:21" s="2" customFormat="1" ht="12.75">
      <c r="A10" s="21" t="s">
        <v>57</v>
      </c>
      <c r="B10" s="5"/>
      <c r="C10" s="8"/>
      <c r="D10" s="5"/>
      <c r="E10" s="5"/>
      <c r="F10" s="10"/>
      <c r="G10" s="9" t="s">
        <v>3</v>
      </c>
      <c r="H10" s="9">
        <f>Table1[[#Totals],[STORE '#]]</f>
        <v>171</v>
      </c>
      <c r="I10" s="10"/>
      <c r="J10" s="10"/>
      <c r="K10" s="7"/>
      <c r="L10" s="7"/>
      <c r="M10" s="7"/>
      <c r="N10" s="8"/>
      <c r="O10" s="8"/>
      <c r="P10" s="8"/>
      <c r="Q10" s="8"/>
      <c r="R10" s="8"/>
      <c r="S10" s="8"/>
      <c r="T10" s="8"/>
      <c r="U10" s="8"/>
    </row>
    <row r="11" spans="1:21" s="2" customFormat="1" ht="38.25">
      <c r="A11" s="3" t="s">
        <v>4</v>
      </c>
      <c r="B11" s="3" t="s">
        <v>5</v>
      </c>
      <c r="C11" s="3" t="s">
        <v>6</v>
      </c>
      <c r="D11" s="3" t="s">
        <v>7</v>
      </c>
      <c r="E11" s="3" t="s">
        <v>8</v>
      </c>
      <c r="F11" s="3" t="s">
        <v>9</v>
      </c>
      <c r="G11" s="3" t="s">
        <v>10</v>
      </c>
      <c r="H11" s="3" t="s">
        <v>11</v>
      </c>
      <c r="I11" s="3" t="s">
        <v>12</v>
      </c>
      <c r="J11" s="3" t="s">
        <v>13</v>
      </c>
      <c r="K11" s="23" t="s">
        <v>14</v>
      </c>
      <c r="L11" s="23" t="s">
        <v>15</v>
      </c>
      <c r="M11" s="23" t="s">
        <v>16</v>
      </c>
      <c r="N11" s="3" t="s">
        <v>17</v>
      </c>
      <c r="O11" s="3" t="s">
        <v>18</v>
      </c>
      <c r="P11" s="3" t="s">
        <v>19</v>
      </c>
      <c r="Q11" s="3" t="s">
        <v>20</v>
      </c>
      <c r="R11" s="3" t="s">
        <v>21</v>
      </c>
      <c r="S11" s="3" t="s">
        <v>22</v>
      </c>
      <c r="T11" s="3" t="s">
        <v>23</v>
      </c>
      <c r="U11" s="3" t="s">
        <v>24</v>
      </c>
    </row>
    <row r="12" spans="1:21" s="22" customFormat="1">
      <c r="A12" s="33" t="s">
        <v>58</v>
      </c>
      <c r="B12" s="24"/>
      <c r="C12" s="33"/>
      <c r="D12" s="24"/>
      <c r="E12" s="24"/>
      <c r="F12" s="34"/>
      <c r="G12" s="34"/>
      <c r="H12" s="34"/>
      <c r="I12" s="35"/>
      <c r="J12" s="12"/>
      <c r="K12" s="34"/>
      <c r="L12" s="34"/>
      <c r="M12" s="34"/>
      <c r="N12" s="29"/>
      <c r="O12" s="29"/>
      <c r="P12" s="29"/>
      <c r="Q12" s="29"/>
      <c r="R12" s="29"/>
      <c r="S12" s="29"/>
      <c r="T12" s="29"/>
      <c r="U12" s="29"/>
    </row>
    <row r="13" spans="1:21" s="22" customFormat="1">
      <c r="A13" s="4" t="s">
        <v>59</v>
      </c>
      <c r="B13" s="4" t="s">
        <v>32</v>
      </c>
      <c r="C13" s="4" t="s">
        <v>43</v>
      </c>
      <c r="D13" s="4" t="s">
        <v>25</v>
      </c>
      <c r="E13" s="4" t="s">
        <v>62</v>
      </c>
      <c r="F13" s="30">
        <f>SUBTOTAL(109,Table1[SGO 24-001-01])</f>
        <v>16</v>
      </c>
      <c r="G13" s="30">
        <v>10</v>
      </c>
      <c r="H13" s="30">
        <f t="shared" ref="H13" si="0">SUM(F13:G13)</f>
        <v>26</v>
      </c>
      <c r="I13" s="31">
        <v>17.430599999999998</v>
      </c>
      <c r="J13" s="11">
        <f t="shared" ref="J13:J15" si="1">H13*I13</f>
        <v>453.19559999999996</v>
      </c>
      <c r="K13" s="32">
        <v>8</v>
      </c>
      <c r="L13" s="30">
        <v>2</v>
      </c>
      <c r="M13" s="30">
        <v>5</v>
      </c>
      <c r="N13" s="13" t="s">
        <v>26</v>
      </c>
      <c r="O13" s="13"/>
      <c r="P13" s="13" t="s">
        <v>27</v>
      </c>
      <c r="Q13" s="13" t="s">
        <v>28</v>
      </c>
      <c r="R13" s="13"/>
      <c r="S13" s="13" t="s">
        <v>30</v>
      </c>
      <c r="T13" s="13"/>
      <c r="U13" s="13"/>
    </row>
    <row r="14" spans="1:21" s="22" customFormat="1">
      <c r="A14" s="4" t="s">
        <v>60</v>
      </c>
      <c r="B14" s="4" t="s">
        <v>33</v>
      </c>
      <c r="C14" s="4" t="s">
        <v>29</v>
      </c>
      <c r="D14" s="4" t="s">
        <v>25</v>
      </c>
      <c r="E14" s="4" t="s">
        <v>63</v>
      </c>
      <c r="F14" s="30">
        <f>SUBTOTAL(109,Table1[SGO 24-001-02])</f>
        <v>1360</v>
      </c>
      <c r="G14" s="30">
        <v>300</v>
      </c>
      <c r="H14" s="30">
        <f t="shared" ref="H14" si="2">SUM(F14:G14)</f>
        <v>1660</v>
      </c>
      <c r="I14" s="31">
        <v>0.66610000000000003</v>
      </c>
      <c r="J14" s="11">
        <f t="shared" si="1"/>
        <v>1105.7260000000001</v>
      </c>
      <c r="K14" s="32">
        <v>8</v>
      </c>
      <c r="L14" s="30">
        <v>25</v>
      </c>
      <c r="M14" s="30">
        <v>75</v>
      </c>
      <c r="N14" s="13" t="s">
        <v>26</v>
      </c>
      <c r="O14" s="13"/>
      <c r="P14" s="13" t="s">
        <v>27</v>
      </c>
      <c r="Q14" s="13" t="s">
        <v>28</v>
      </c>
      <c r="R14" s="13"/>
      <c r="S14" s="13" t="s">
        <v>30</v>
      </c>
      <c r="T14" s="13"/>
      <c r="U14" s="13"/>
    </row>
    <row r="15" spans="1:21">
      <c r="A15" s="4" t="s">
        <v>61</v>
      </c>
      <c r="B15" s="4" t="s">
        <v>46</v>
      </c>
      <c r="C15" s="4" t="s">
        <v>44</v>
      </c>
      <c r="D15" s="4" t="s">
        <v>25</v>
      </c>
      <c r="E15" s="4" t="s">
        <v>64</v>
      </c>
      <c r="F15" s="30">
        <f>SUBTOTAL(109,Table1[SGO 24-001-03])</f>
        <v>1336</v>
      </c>
      <c r="G15" s="30">
        <v>300</v>
      </c>
      <c r="H15" s="30">
        <f t="shared" ref="H15" si="3">SUM(F15:G15)</f>
        <v>1636</v>
      </c>
      <c r="I15" s="31">
        <v>0.790547</v>
      </c>
      <c r="J15" s="11">
        <f t="shared" si="1"/>
        <v>1293.3348920000001</v>
      </c>
      <c r="K15" s="32">
        <v>8</v>
      </c>
      <c r="L15" s="30">
        <v>25</v>
      </c>
      <c r="M15" s="30">
        <v>75</v>
      </c>
      <c r="N15" s="13" t="s">
        <v>26</v>
      </c>
      <c r="O15" s="13"/>
      <c r="P15" s="13" t="s">
        <v>27</v>
      </c>
      <c r="Q15" s="13" t="s">
        <v>28</v>
      </c>
      <c r="R15" s="13"/>
      <c r="S15" s="13" t="s">
        <v>30</v>
      </c>
      <c r="T15" s="13"/>
      <c r="U15" s="13"/>
    </row>
    <row r="16" spans="1:21" collapsed="1">
      <c r="A16" s="24"/>
      <c r="B16" s="24"/>
      <c r="C16" s="29"/>
      <c r="D16" s="24"/>
      <c r="E16" s="24"/>
      <c r="F16" s="34"/>
      <c r="G16" s="34"/>
      <c r="H16" s="34"/>
      <c r="I16" s="35"/>
      <c r="J16" s="12"/>
      <c r="K16" s="34"/>
      <c r="L16" s="34"/>
      <c r="M16" s="34"/>
      <c r="N16" s="29"/>
      <c r="O16" s="29"/>
      <c r="P16" s="29"/>
      <c r="Q16" s="29"/>
      <c r="R16" s="29"/>
      <c r="S16" s="29"/>
      <c r="T16" s="29"/>
      <c r="U16" s="29"/>
    </row>
    <row r="17" spans="1:21">
      <c r="A17" s="4" t="s">
        <v>34</v>
      </c>
      <c r="B17" s="4"/>
      <c r="C17" s="13"/>
      <c r="D17" s="4"/>
      <c r="E17" s="4"/>
      <c r="F17" s="30"/>
      <c r="G17" s="30"/>
      <c r="H17" s="30"/>
      <c r="I17" s="31">
        <v>0</v>
      </c>
      <c r="J17" s="11">
        <f>H17*I17</f>
        <v>0</v>
      </c>
      <c r="K17" s="38"/>
      <c r="L17" s="38"/>
      <c r="M17" s="38"/>
      <c r="N17" s="39"/>
      <c r="O17" s="39"/>
      <c r="P17" s="39"/>
      <c r="Q17" s="39"/>
      <c r="R17" s="39"/>
      <c r="S17" s="39"/>
      <c r="T17" s="39"/>
      <c r="U17" s="39"/>
    </row>
    <row r="18" spans="1:21">
      <c r="A18" s="4" t="s">
        <v>35</v>
      </c>
      <c r="B18" s="4"/>
      <c r="C18" s="13"/>
      <c r="D18" s="4"/>
      <c r="E18" s="4"/>
      <c r="F18" s="30"/>
      <c r="G18" s="30"/>
      <c r="H18" s="30"/>
      <c r="I18" s="31">
        <v>0</v>
      </c>
      <c r="J18" s="14">
        <f>H18*I18</f>
        <v>0</v>
      </c>
      <c r="K18" s="38"/>
      <c r="L18" s="38"/>
      <c r="M18" s="38"/>
      <c r="N18" s="39"/>
      <c r="O18" s="39"/>
      <c r="P18" s="39"/>
      <c r="Q18" s="39"/>
      <c r="R18" s="39"/>
      <c r="S18" s="39"/>
      <c r="T18" s="39"/>
      <c r="U18" s="39"/>
    </row>
    <row r="19" spans="1:21">
      <c r="A19" s="4" t="s">
        <v>36</v>
      </c>
      <c r="B19" s="4"/>
      <c r="C19" s="13"/>
      <c r="D19" s="4"/>
      <c r="E19" s="4"/>
      <c r="F19" s="30"/>
      <c r="G19" s="30"/>
      <c r="H19" s="30"/>
      <c r="I19" s="31">
        <v>0</v>
      </c>
      <c r="J19" s="14">
        <f>H19*I19</f>
        <v>0</v>
      </c>
      <c r="K19" s="38"/>
      <c r="L19" s="38"/>
      <c r="M19" s="38"/>
      <c r="N19" s="39"/>
      <c r="O19" s="39"/>
      <c r="P19" s="39"/>
      <c r="Q19" s="39"/>
      <c r="R19" s="39"/>
      <c r="S19" s="39"/>
      <c r="T19" s="39"/>
      <c r="U19" s="39"/>
    </row>
    <row r="20" spans="1:21">
      <c r="A20" s="4" t="s">
        <v>37</v>
      </c>
      <c r="B20" s="4"/>
      <c r="C20" s="13"/>
      <c r="D20" s="4"/>
      <c r="E20" s="4"/>
      <c r="F20" s="30"/>
      <c r="G20" s="30"/>
      <c r="H20" s="30"/>
      <c r="I20" s="31">
        <v>0</v>
      </c>
      <c r="J20" s="14">
        <f>H20*I20</f>
        <v>0</v>
      </c>
      <c r="K20" s="38"/>
      <c r="L20" s="38"/>
      <c r="M20" s="38"/>
      <c r="N20" s="39"/>
      <c r="O20" s="39"/>
      <c r="P20" s="39"/>
      <c r="Q20" s="39"/>
      <c r="R20" s="39"/>
      <c r="S20" s="39"/>
      <c r="T20" s="39"/>
      <c r="U20" s="39"/>
    </row>
    <row r="21" spans="1:21">
      <c r="A21" s="4" t="s">
        <v>38</v>
      </c>
      <c r="B21" s="4"/>
      <c r="C21" s="13"/>
      <c r="D21" s="4"/>
      <c r="E21" s="4"/>
      <c r="F21" s="30"/>
      <c r="G21" s="30"/>
      <c r="H21" s="30"/>
      <c r="I21" s="31">
        <v>0</v>
      </c>
      <c r="J21" s="14">
        <v>998.5</v>
      </c>
      <c r="K21" s="38"/>
      <c r="L21" s="38"/>
      <c r="M21" s="38"/>
      <c r="N21" s="39"/>
      <c r="O21" s="39"/>
      <c r="P21" s="39"/>
      <c r="Q21" s="39"/>
      <c r="R21" s="39"/>
      <c r="S21" s="39"/>
      <c r="T21" s="39"/>
      <c r="U21" s="39"/>
    </row>
    <row r="22" spans="1:21">
      <c r="A22" s="15"/>
      <c r="B22" s="15"/>
      <c r="C22" s="27"/>
      <c r="D22" s="15"/>
      <c r="E22" s="15"/>
      <c r="F22" s="15"/>
      <c r="G22" s="15"/>
      <c r="H22" s="15"/>
      <c r="I22" s="16" t="s">
        <v>39</v>
      </c>
      <c r="J22" s="14">
        <f>SUM(J12:J21)</f>
        <v>3850.7564920000004</v>
      </c>
      <c r="K22" s="40"/>
      <c r="L22" s="40"/>
      <c r="M22" s="40"/>
      <c r="N22" s="15"/>
      <c r="O22" s="15"/>
      <c r="P22" s="15"/>
      <c r="Q22" s="15"/>
      <c r="R22" s="15"/>
      <c r="S22" s="27"/>
      <c r="T22" s="15"/>
      <c r="U22" s="27"/>
    </row>
    <row r="23" spans="1:21">
      <c r="A23" s="15"/>
      <c r="B23" s="15"/>
      <c r="C23" s="27"/>
      <c r="D23" s="15"/>
      <c r="E23" s="15"/>
      <c r="F23" s="15"/>
      <c r="G23" s="15"/>
      <c r="H23" s="15"/>
      <c r="I23" s="17" t="s">
        <v>40</v>
      </c>
      <c r="J23" s="12">
        <f>SUMPRODUCT(F12:F15,I12:I15)</f>
        <v>2240.9563920000001</v>
      </c>
      <c r="K23" s="15"/>
      <c r="L23" s="15"/>
      <c r="M23" s="15"/>
      <c r="N23" s="15"/>
      <c r="O23" s="15"/>
      <c r="P23" s="15"/>
      <c r="Q23" s="15"/>
      <c r="R23" s="15"/>
      <c r="S23" s="27"/>
      <c r="T23" s="15"/>
      <c r="U23" s="27"/>
    </row>
    <row r="24" spans="1:21">
      <c r="A24" s="15"/>
      <c r="B24" s="15"/>
      <c r="C24" s="27"/>
      <c r="D24" s="15"/>
      <c r="E24" s="15"/>
      <c r="F24" s="15"/>
      <c r="G24" s="15"/>
      <c r="H24" s="15"/>
      <c r="I24" s="18" t="s">
        <v>41</v>
      </c>
      <c r="J24" s="36">
        <f>SUMPRODUCT(G12:G15,I12:I15)</f>
        <v>611.30009999999993</v>
      </c>
      <c r="K24" s="15"/>
      <c r="L24" s="15"/>
      <c r="M24" s="15"/>
      <c r="N24" s="15"/>
      <c r="O24" s="15"/>
      <c r="P24" s="15"/>
      <c r="Q24" s="15"/>
      <c r="R24" s="15"/>
      <c r="S24" s="27"/>
      <c r="T24" s="15"/>
      <c r="U24" s="27"/>
    </row>
    <row r="25" spans="1:21">
      <c r="A25" s="19"/>
      <c r="B25" s="15"/>
      <c r="C25" s="27"/>
      <c r="D25" s="15"/>
      <c r="E25" s="15"/>
      <c r="F25" s="15"/>
      <c r="G25" s="15"/>
      <c r="H25" s="15"/>
      <c r="I25" s="20" t="s">
        <v>42</v>
      </c>
      <c r="J25" s="37">
        <f>J24/J23</f>
        <v>0.27278536172425433</v>
      </c>
      <c r="K25" s="15"/>
      <c r="L25" s="15"/>
      <c r="M25" s="15"/>
      <c r="N25" s="15"/>
      <c r="O25" s="15"/>
      <c r="P25" s="15"/>
      <c r="Q25" s="15"/>
      <c r="R25" s="15"/>
      <c r="S25" s="27"/>
      <c r="T25" s="15"/>
      <c r="U25" s="27"/>
    </row>
    <row r="26" spans="1:21">
      <c r="A26" s="19"/>
      <c r="B26" s="15"/>
      <c r="C26" s="27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27"/>
      <c r="T26" s="15"/>
      <c r="U26" s="27"/>
    </row>
    <row r="27" spans="1:21">
      <c r="A27" s="19"/>
      <c r="B27" s="15"/>
      <c r="C27" s="2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27"/>
      <c r="T27" s="15"/>
      <c r="U27" s="27"/>
    </row>
  </sheetData>
  <autoFilter ref="A11:U15" xr:uid="{13D2FCE7-FB0B-47C0-AAB4-DB6DD42EE6B7}"/>
  <phoneticPr fontId="20" type="noConversion"/>
  <pageMargins left="0.25" right="0.25" top="0.49" bottom="0.17" header="0.25" footer="0.23"/>
  <pageSetup paperSize="3" scale="43" fitToWidth="2" orientation="landscape" r:id="rId1"/>
  <headerFooter alignWithMargins="0">
    <oddHeader>&amp;L&amp;T&amp;C&amp;F&amp;R&amp;D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1133-12D7-4D81-B070-516903267DDC}">
  <dimension ref="A2:BL677"/>
  <sheetViews>
    <sheetView topLeftCell="A136" zoomScale="70" zoomScaleNormal="70" workbookViewId="0">
      <selection activeCell="BK178" sqref="BI178:BK178"/>
    </sheetView>
  </sheetViews>
  <sheetFormatPr defaultColWidth="9.5703125" defaultRowHeight="12.75" customHeight="1"/>
  <cols>
    <col min="1" max="1" width="11.85546875" style="42" bestFit="1" customWidth="1"/>
    <col min="2" max="2" width="13.28515625" style="43" bestFit="1" customWidth="1"/>
    <col min="3" max="3" width="41.42578125" style="42" customWidth="1"/>
    <col min="4" max="4" width="28.42578125" style="42" customWidth="1"/>
    <col min="5" max="5" width="20.28515625" style="42" customWidth="1"/>
    <col min="6" max="6" width="11.5703125" style="42" customWidth="1"/>
    <col min="7" max="7" width="13.7109375" style="43" bestFit="1" customWidth="1"/>
    <col min="8" max="8" width="12.7109375" style="43" customWidth="1"/>
    <col min="9" max="9" width="20.140625" style="43" bestFit="1" customWidth="1"/>
    <col min="10" max="10" width="17.5703125" style="43" customWidth="1"/>
    <col min="11" max="11" width="22.5703125" style="43" hidden="1" customWidth="1"/>
    <col min="12" max="12" width="14.7109375" style="42" hidden="1" customWidth="1"/>
    <col min="13" max="13" width="31.42578125" style="43" hidden="1" customWidth="1"/>
    <col min="14" max="14" width="15.5703125" style="43" hidden="1" customWidth="1"/>
    <col min="15" max="15" width="21.42578125" style="42" hidden="1" customWidth="1"/>
    <col min="16" max="16" width="26.5703125" style="42" hidden="1" customWidth="1"/>
    <col min="17" max="17" width="27.28515625" style="42" hidden="1" customWidth="1"/>
    <col min="18" max="18" width="16.28515625" style="42" hidden="1" customWidth="1"/>
    <col min="19" max="19" width="39" style="42" hidden="1" customWidth="1"/>
    <col min="20" max="20" width="15.5703125" style="42" hidden="1" customWidth="1"/>
    <col min="21" max="21" width="17.28515625" style="42" hidden="1" customWidth="1"/>
    <col min="22" max="22" width="26.85546875" style="42" hidden="1" customWidth="1"/>
    <col min="23" max="23" width="18.28515625" style="42" hidden="1" customWidth="1"/>
    <col min="24" max="26" width="20.7109375" style="42" hidden="1" customWidth="1"/>
    <col min="27" max="27" width="17.7109375" style="42" hidden="1" customWidth="1"/>
    <col min="28" max="28" width="17" style="42" hidden="1" customWidth="1"/>
    <col min="29" max="29" width="18.28515625" style="42" hidden="1" customWidth="1"/>
    <col min="30" max="30" width="18.7109375" style="68" hidden="1" customWidth="1"/>
    <col min="31" max="31" width="18.140625" style="42" hidden="1" customWidth="1"/>
    <col min="32" max="33" width="17.140625" style="42" hidden="1" customWidth="1"/>
    <col min="34" max="34" width="20.42578125" style="42" hidden="1" customWidth="1"/>
    <col min="35" max="35" width="30.5703125" style="42" hidden="1" customWidth="1"/>
    <col min="36" max="36" width="24.5703125" style="42" hidden="1" customWidth="1"/>
    <col min="37" max="37" width="25.42578125" style="42" customWidth="1"/>
    <col min="38" max="38" width="22.5703125" style="42" hidden="1" customWidth="1"/>
    <col min="39" max="40" width="18.42578125" style="42" hidden="1" customWidth="1"/>
    <col min="41" max="41" width="12.85546875" style="42" hidden="1" customWidth="1"/>
    <col min="42" max="42" width="12.85546875" style="42" customWidth="1"/>
    <col min="43" max="43" width="29.7109375" style="42" bestFit="1" customWidth="1"/>
    <col min="44" max="44" width="15.140625" style="44" hidden="1" customWidth="1"/>
    <col min="45" max="45" width="12.7109375" style="42" hidden="1" customWidth="1"/>
    <col min="46" max="46" width="12.42578125" style="42" hidden="1" customWidth="1"/>
    <col min="47" max="47" width="10.7109375" style="42" hidden="1" customWidth="1"/>
    <col min="48" max="48" width="21.140625" style="42" hidden="1" customWidth="1"/>
    <col min="49" max="51" width="20" style="42" hidden="1" customWidth="1"/>
    <col min="52" max="52" width="19.5703125" style="44" hidden="1" customWidth="1"/>
    <col min="53" max="53" width="15.7109375" style="42" hidden="1" customWidth="1"/>
    <col min="54" max="57" width="11.42578125" style="42" hidden="1" customWidth="1"/>
    <col min="58" max="58" width="11.140625" style="45" customWidth="1"/>
    <col min="59" max="59" width="25.7109375" style="48" customWidth="1"/>
    <col min="60" max="60" width="25.42578125" style="48" customWidth="1"/>
    <col min="61" max="63" width="25.7109375" style="49" customWidth="1"/>
    <col min="64" max="64" width="9.5703125" style="49"/>
    <col min="65" max="16384" width="9.5703125" style="42"/>
  </cols>
  <sheetData>
    <row r="2" spans="1:64" ht="27.4" customHeight="1">
      <c r="BG2" s="3" t="s">
        <v>4</v>
      </c>
      <c r="BH2" s="71" t="s">
        <v>58</v>
      </c>
      <c r="BI2" s="13" t="s">
        <v>59</v>
      </c>
      <c r="BJ2" s="13" t="s">
        <v>60</v>
      </c>
      <c r="BK2" s="13" t="s">
        <v>61</v>
      </c>
    </row>
    <row r="3" spans="1:64" ht="12.75" customHeight="1">
      <c r="BG3" s="3" t="s">
        <v>5</v>
      </c>
      <c r="BH3" s="29"/>
      <c r="BI3" s="13" t="s">
        <v>32</v>
      </c>
      <c r="BJ3" s="13" t="s">
        <v>33</v>
      </c>
      <c r="BK3" s="13" t="s">
        <v>46</v>
      </c>
    </row>
    <row r="4" spans="1:64" ht="12.4" customHeight="1">
      <c r="BG4" s="3" t="s">
        <v>6</v>
      </c>
      <c r="BH4" s="71"/>
      <c r="BI4" s="13" t="s">
        <v>43</v>
      </c>
      <c r="BJ4" s="13" t="s">
        <v>29</v>
      </c>
      <c r="BK4" s="13" t="s">
        <v>44</v>
      </c>
    </row>
    <row r="5" spans="1:64" ht="12.75" customHeight="1">
      <c r="BG5" s="3" t="s">
        <v>7</v>
      </c>
      <c r="BH5" s="29"/>
      <c r="BI5" s="13" t="s">
        <v>25</v>
      </c>
      <c r="BJ5" s="13" t="s">
        <v>25</v>
      </c>
      <c r="BK5" s="13" t="s">
        <v>25</v>
      </c>
    </row>
    <row r="6" spans="1:64" s="49" customFormat="1" ht="51">
      <c r="A6" s="121" t="s">
        <v>65</v>
      </c>
      <c r="B6" s="122" t="s">
        <v>66</v>
      </c>
      <c r="C6" s="122" t="s">
        <v>67</v>
      </c>
      <c r="D6" s="122" t="s">
        <v>68</v>
      </c>
      <c r="E6" s="122" t="s">
        <v>69</v>
      </c>
      <c r="F6" s="122" t="s">
        <v>70</v>
      </c>
      <c r="G6" s="122" t="s">
        <v>71</v>
      </c>
      <c r="H6" s="122" t="s">
        <v>72</v>
      </c>
      <c r="I6" s="122" t="s">
        <v>73</v>
      </c>
      <c r="J6" s="122" t="s">
        <v>74</v>
      </c>
      <c r="K6" s="123" t="s">
        <v>75</v>
      </c>
      <c r="L6" s="122" t="s">
        <v>76</v>
      </c>
      <c r="M6" s="122" t="s">
        <v>77</v>
      </c>
      <c r="N6" s="124" t="s">
        <v>78</v>
      </c>
      <c r="O6" s="124" t="s">
        <v>79</v>
      </c>
      <c r="P6" s="124" t="s">
        <v>80</v>
      </c>
      <c r="Q6" s="124" t="s">
        <v>81</v>
      </c>
      <c r="R6" s="124" t="s">
        <v>82</v>
      </c>
      <c r="S6" s="124" t="s">
        <v>83</v>
      </c>
      <c r="T6" s="124" t="s">
        <v>84</v>
      </c>
      <c r="U6" s="124" t="s">
        <v>85</v>
      </c>
      <c r="V6" s="124" t="s">
        <v>86</v>
      </c>
      <c r="W6" s="124" t="s">
        <v>87</v>
      </c>
      <c r="X6" s="124" t="s">
        <v>88</v>
      </c>
      <c r="Y6" s="124" t="s">
        <v>89</v>
      </c>
      <c r="Z6" s="124" t="s">
        <v>90</v>
      </c>
      <c r="AA6" s="124" t="s">
        <v>91</v>
      </c>
      <c r="AB6" s="124" t="s">
        <v>92</v>
      </c>
      <c r="AC6" s="124" t="s">
        <v>93</v>
      </c>
      <c r="AD6" s="124" t="s">
        <v>94</v>
      </c>
      <c r="AE6" s="122" t="s">
        <v>95</v>
      </c>
      <c r="AF6" s="122" t="s">
        <v>96</v>
      </c>
      <c r="AG6" s="122" t="s">
        <v>97</v>
      </c>
      <c r="AH6" s="122" t="s">
        <v>98</v>
      </c>
      <c r="AI6" s="122" t="s">
        <v>99</v>
      </c>
      <c r="AJ6" s="122" t="s">
        <v>100</v>
      </c>
      <c r="AK6" s="124" t="s">
        <v>101</v>
      </c>
      <c r="AL6" s="124" t="s">
        <v>102</v>
      </c>
      <c r="AM6" s="124" t="s">
        <v>103</v>
      </c>
      <c r="AN6" s="124" t="s">
        <v>104</v>
      </c>
      <c r="AO6" s="124" t="s">
        <v>105</v>
      </c>
      <c r="AP6" s="125" t="s">
        <v>45</v>
      </c>
      <c r="AQ6" s="125" t="s">
        <v>1288</v>
      </c>
      <c r="AR6" s="47" t="s">
        <v>106</v>
      </c>
      <c r="AS6" s="69" t="s">
        <v>107</v>
      </c>
      <c r="AT6" s="69" t="s">
        <v>108</v>
      </c>
      <c r="AU6" s="69" t="s">
        <v>109</v>
      </c>
      <c r="AV6" s="69" t="s">
        <v>110</v>
      </c>
      <c r="AW6" s="69" t="s">
        <v>111</v>
      </c>
      <c r="AX6" s="69" t="s">
        <v>112</v>
      </c>
      <c r="AY6" s="69" t="s">
        <v>113</v>
      </c>
      <c r="AZ6" s="47" t="s">
        <v>114</v>
      </c>
      <c r="BA6" s="69" t="s">
        <v>115</v>
      </c>
      <c r="BB6" s="69" t="s">
        <v>116</v>
      </c>
      <c r="BC6" s="70" t="s">
        <v>117</v>
      </c>
      <c r="BD6" s="70" t="s">
        <v>118</v>
      </c>
      <c r="BE6" s="70" t="s">
        <v>1286</v>
      </c>
      <c r="BF6" s="48" t="s">
        <v>1287</v>
      </c>
      <c r="BG6" s="3" t="s">
        <v>8</v>
      </c>
      <c r="BH6" s="71" t="s">
        <v>58</v>
      </c>
      <c r="BI6" s="13" t="s">
        <v>62</v>
      </c>
      <c r="BJ6" s="13" t="s">
        <v>63</v>
      </c>
      <c r="BK6" s="13" t="s">
        <v>64</v>
      </c>
    </row>
    <row r="7" spans="1:64" s="50" customFormat="1" ht="13.15" customHeight="1">
      <c r="A7" s="85">
        <v>89</v>
      </c>
      <c r="B7" s="86" t="s">
        <v>198</v>
      </c>
      <c r="C7" s="87" t="s">
        <v>199</v>
      </c>
      <c r="D7" s="88" t="s">
        <v>200</v>
      </c>
      <c r="E7" s="88" t="s">
        <v>201</v>
      </c>
      <c r="F7" s="88" t="s">
        <v>163</v>
      </c>
      <c r="G7" s="86" t="s">
        <v>202</v>
      </c>
      <c r="H7" s="86" t="s">
        <v>123</v>
      </c>
      <c r="I7" s="86" t="s">
        <v>151</v>
      </c>
      <c r="J7" s="86" t="s">
        <v>203</v>
      </c>
      <c r="K7" s="89" t="s">
        <v>166</v>
      </c>
      <c r="L7" s="88">
        <v>191</v>
      </c>
      <c r="M7" s="86" t="s">
        <v>154</v>
      </c>
      <c r="N7" s="86"/>
      <c r="O7" s="88" t="s">
        <v>155</v>
      </c>
      <c r="P7" s="88" t="s">
        <v>28</v>
      </c>
      <c r="Q7" s="88"/>
      <c r="R7" s="88" t="s">
        <v>31</v>
      </c>
      <c r="S7" s="88" t="s">
        <v>204</v>
      </c>
      <c r="T7" s="88">
        <v>4</v>
      </c>
      <c r="U7" s="88">
        <v>0</v>
      </c>
      <c r="V7" s="88" t="s">
        <v>205</v>
      </c>
      <c r="W7" s="88">
        <v>0</v>
      </c>
      <c r="X7" s="88" t="e">
        <v>#N/A</v>
      </c>
      <c r="Y7" s="88" t="e">
        <v>#N/A</v>
      </c>
      <c r="Z7" s="88" t="e">
        <v>#N/A</v>
      </c>
      <c r="AA7" s="88" t="e">
        <v>#N/A</v>
      </c>
      <c r="AB7" s="88"/>
      <c r="AC7" s="88" t="s">
        <v>157</v>
      </c>
      <c r="AD7" s="88" t="s">
        <v>206</v>
      </c>
      <c r="AE7" s="88" t="s">
        <v>169</v>
      </c>
      <c r="AF7" s="88" t="s">
        <v>134</v>
      </c>
      <c r="AG7" s="88" t="s">
        <v>28</v>
      </c>
      <c r="AH7" s="88">
        <v>532</v>
      </c>
      <c r="AI7" s="88">
        <v>700</v>
      </c>
      <c r="AJ7" s="88">
        <v>900</v>
      </c>
      <c r="AK7" s="88">
        <v>0</v>
      </c>
      <c r="AL7" s="88">
        <v>0</v>
      </c>
      <c r="AM7" s="88">
        <v>0</v>
      </c>
      <c r="AN7" s="88">
        <v>20</v>
      </c>
      <c r="AO7" s="88">
        <v>20</v>
      </c>
      <c r="AP7" s="88">
        <v>0</v>
      </c>
      <c r="AQ7" s="88">
        <v>8</v>
      </c>
      <c r="AR7" s="79"/>
      <c r="AS7" s="77"/>
      <c r="AT7" s="77">
        <v>40</v>
      </c>
      <c r="AU7" s="77">
        <v>4</v>
      </c>
      <c r="AV7" s="77">
        <v>4</v>
      </c>
      <c r="AW7" s="77">
        <v>4</v>
      </c>
      <c r="AX7" s="77">
        <v>0</v>
      </c>
      <c r="AY7" s="78">
        <v>15</v>
      </c>
      <c r="AZ7" s="79">
        <v>15</v>
      </c>
      <c r="BA7" s="77">
        <v>48</v>
      </c>
      <c r="BB7" s="77">
        <v>2</v>
      </c>
      <c r="BC7" s="77" t="e">
        <f>VLOOKUP($B$9,#REF!,2,TRUE)</f>
        <v>#REF!</v>
      </c>
      <c r="BD7" s="77" t="s">
        <v>31</v>
      </c>
      <c r="BE7" s="77"/>
      <c r="BF7" s="45"/>
      <c r="BG7" s="48"/>
      <c r="BH7" s="48"/>
      <c r="BI7" s="48"/>
      <c r="BJ7" s="48">
        <v>8</v>
      </c>
      <c r="BK7" s="48"/>
      <c r="BL7" s="49"/>
    </row>
    <row r="8" spans="1:64" s="51" customFormat="1" ht="13.15" customHeight="1">
      <c r="A8" s="85"/>
      <c r="B8" s="90" t="s">
        <v>146</v>
      </c>
      <c r="C8" s="85" t="s">
        <v>147</v>
      </c>
      <c r="D8" s="85" t="s">
        <v>148</v>
      </c>
      <c r="E8" s="85" t="s">
        <v>149</v>
      </c>
      <c r="F8" s="85" t="s">
        <v>150</v>
      </c>
      <c r="G8" s="90">
        <v>26501</v>
      </c>
      <c r="H8" s="90" t="s">
        <v>123</v>
      </c>
      <c r="I8" s="91" t="s">
        <v>151</v>
      </c>
      <c r="J8" s="92" t="s">
        <v>152</v>
      </c>
      <c r="K8" s="90" t="s">
        <v>153</v>
      </c>
      <c r="L8" s="85">
        <v>212</v>
      </c>
      <c r="M8" s="90" t="s">
        <v>154</v>
      </c>
      <c r="N8" s="90"/>
      <c r="O8" s="85" t="s">
        <v>155</v>
      </c>
      <c r="P8" s="85" t="s">
        <v>28</v>
      </c>
      <c r="Q8" s="85" t="s">
        <v>156</v>
      </c>
      <c r="R8" s="85" t="s">
        <v>31</v>
      </c>
      <c r="S8" s="85" t="s">
        <v>28</v>
      </c>
      <c r="T8" s="85">
        <v>0</v>
      </c>
      <c r="U8" s="85">
        <v>5</v>
      </c>
      <c r="V8" s="85">
        <v>0</v>
      </c>
      <c r="W8" s="85">
        <v>0</v>
      </c>
      <c r="X8" s="88" t="e">
        <v>#N/A</v>
      </c>
      <c r="Y8" s="88" t="e">
        <v>#N/A</v>
      </c>
      <c r="Z8" s="88" t="e">
        <v>#N/A</v>
      </c>
      <c r="AA8" s="88" t="e">
        <v>#N/A</v>
      </c>
      <c r="AB8" s="88"/>
      <c r="AC8" s="88" t="s">
        <v>157</v>
      </c>
      <c r="AD8" s="88" t="s">
        <v>158</v>
      </c>
      <c r="AE8" s="88" t="s">
        <v>133</v>
      </c>
      <c r="AF8" s="88" t="e">
        <v>#N/A</v>
      </c>
      <c r="AG8" s="85" t="s">
        <v>31</v>
      </c>
      <c r="AH8" s="85">
        <v>400</v>
      </c>
      <c r="AI8" s="85"/>
      <c r="AJ8" s="85"/>
      <c r="AK8" s="93">
        <v>10</v>
      </c>
      <c r="AL8" s="85">
        <v>0</v>
      </c>
      <c r="AM8" s="85">
        <v>50</v>
      </c>
      <c r="AN8" s="85">
        <v>0</v>
      </c>
      <c r="AO8" s="85">
        <v>0</v>
      </c>
      <c r="AP8" s="85">
        <v>0</v>
      </c>
      <c r="AQ8" s="85">
        <v>8</v>
      </c>
      <c r="AR8" s="80">
        <v>15</v>
      </c>
      <c r="AS8" s="51">
        <v>5</v>
      </c>
      <c r="AT8" s="51">
        <v>40</v>
      </c>
      <c r="AU8" s="51">
        <v>4</v>
      </c>
      <c r="AV8" s="51">
        <v>4</v>
      </c>
      <c r="AW8" s="51">
        <v>4</v>
      </c>
      <c r="AX8" s="51">
        <v>0</v>
      </c>
      <c r="AY8" s="51">
        <v>17</v>
      </c>
      <c r="AZ8" s="80">
        <v>15</v>
      </c>
      <c r="BA8" s="51">
        <v>48</v>
      </c>
      <c r="BB8" s="51">
        <v>2</v>
      </c>
      <c r="BC8" s="51" t="e">
        <f>VLOOKUP($B$9,#REF!,2,TRUE)</f>
        <v>#REF!</v>
      </c>
      <c r="BD8" s="51" t="s">
        <v>31</v>
      </c>
      <c r="BI8" s="72"/>
      <c r="BJ8" s="48">
        <v>8</v>
      </c>
      <c r="BK8" s="73">
        <v>8</v>
      </c>
      <c r="BL8" s="73"/>
    </row>
    <row r="9" spans="1:64" s="52" customFormat="1" ht="15.75">
      <c r="A9" s="93">
        <v>402</v>
      </c>
      <c r="B9" s="91" t="s">
        <v>1164</v>
      </c>
      <c r="C9" s="93" t="s">
        <v>1165</v>
      </c>
      <c r="D9" s="93" t="s">
        <v>1166</v>
      </c>
      <c r="E9" s="93" t="s">
        <v>1167</v>
      </c>
      <c r="F9" s="93" t="s">
        <v>799</v>
      </c>
      <c r="G9" s="91" t="s">
        <v>1168</v>
      </c>
      <c r="H9" s="91" t="s">
        <v>123</v>
      </c>
      <c r="I9" s="91" t="s">
        <v>124</v>
      </c>
      <c r="J9" s="91" t="s">
        <v>1169</v>
      </c>
      <c r="K9" s="91" t="s">
        <v>679</v>
      </c>
      <c r="L9" s="93">
        <v>296</v>
      </c>
      <c r="M9" s="91" t="s">
        <v>154</v>
      </c>
      <c r="N9" s="91"/>
      <c r="O9" s="93" t="s">
        <v>155</v>
      </c>
      <c r="P9" s="93" t="s">
        <v>28</v>
      </c>
      <c r="Q9" s="93" t="s">
        <v>28</v>
      </c>
      <c r="R9" s="93" t="s">
        <v>31</v>
      </c>
      <c r="S9" s="93" t="s">
        <v>167</v>
      </c>
      <c r="T9" s="93">
        <v>2</v>
      </c>
      <c r="U9" s="93">
        <v>4</v>
      </c>
      <c r="V9" s="93">
        <v>0</v>
      </c>
      <c r="W9" s="93">
        <v>2</v>
      </c>
      <c r="X9" s="93" t="s">
        <v>168</v>
      </c>
      <c r="Y9" s="93" t="s">
        <v>168</v>
      </c>
      <c r="Z9" s="93" t="e">
        <v>#N/A</v>
      </c>
      <c r="AA9" s="93" t="e">
        <v>#N/A</v>
      </c>
      <c r="AB9" s="93"/>
      <c r="AC9" s="93" t="s">
        <v>157</v>
      </c>
      <c r="AD9" s="93" t="s">
        <v>132</v>
      </c>
      <c r="AE9" s="93" t="s">
        <v>133</v>
      </c>
      <c r="AF9" s="93" t="s">
        <v>329</v>
      </c>
      <c r="AG9" s="93" t="s">
        <v>31</v>
      </c>
      <c r="AH9" s="93">
        <v>414</v>
      </c>
      <c r="AI9" s="93">
        <v>500</v>
      </c>
      <c r="AJ9" s="93" t="s">
        <v>369</v>
      </c>
      <c r="AK9" s="93">
        <v>8</v>
      </c>
      <c r="AL9" s="93">
        <v>0</v>
      </c>
      <c r="AM9" s="93">
        <v>40</v>
      </c>
      <c r="AN9" s="93">
        <v>10</v>
      </c>
      <c r="AO9" s="93">
        <v>8</v>
      </c>
      <c r="AP9" s="93">
        <v>0</v>
      </c>
      <c r="AQ9" s="93">
        <v>10</v>
      </c>
      <c r="AR9" s="54">
        <v>15</v>
      </c>
      <c r="AS9" s="53">
        <v>6</v>
      </c>
      <c r="AT9" s="53">
        <v>40</v>
      </c>
      <c r="AU9" s="53">
        <v>4</v>
      </c>
      <c r="AV9" s="53">
        <v>4</v>
      </c>
      <c r="AW9" s="53">
        <v>4</v>
      </c>
      <c r="AX9" s="53">
        <v>0</v>
      </c>
      <c r="AY9" s="53">
        <v>15</v>
      </c>
      <c r="AZ9" s="54">
        <v>15</v>
      </c>
      <c r="BA9" s="53">
        <v>48</v>
      </c>
      <c r="BB9" s="53">
        <v>2</v>
      </c>
      <c r="BC9" s="53" t="e">
        <f>VLOOKUP($B$9,#REF!,2,TRUE)</f>
        <v>#REF!</v>
      </c>
      <c r="BD9" s="53" t="s">
        <v>31</v>
      </c>
      <c r="BE9" s="53"/>
      <c r="BF9" s="53"/>
      <c r="BG9" s="53"/>
      <c r="BH9" s="53"/>
      <c r="BI9" s="74"/>
      <c r="BJ9" s="48">
        <v>8</v>
      </c>
      <c r="BK9" s="73">
        <v>8</v>
      </c>
      <c r="BL9" s="74"/>
    </row>
    <row r="10" spans="1:64" s="57" customFormat="1" ht="13.15" customHeight="1">
      <c r="A10" s="85">
        <v>511</v>
      </c>
      <c r="B10" s="90" t="s">
        <v>918</v>
      </c>
      <c r="C10" s="85" t="s">
        <v>919</v>
      </c>
      <c r="D10" s="85" t="s">
        <v>920</v>
      </c>
      <c r="E10" s="85" t="s">
        <v>921</v>
      </c>
      <c r="F10" s="85" t="s">
        <v>895</v>
      </c>
      <c r="G10" s="90" t="s">
        <v>922</v>
      </c>
      <c r="H10" s="90" t="s">
        <v>137</v>
      </c>
      <c r="I10" s="90" t="s">
        <v>897</v>
      </c>
      <c r="J10" s="90" t="s">
        <v>923</v>
      </c>
      <c r="K10" s="90" t="s">
        <v>899</v>
      </c>
      <c r="L10" s="85">
        <v>326</v>
      </c>
      <c r="M10" s="90" t="s">
        <v>154</v>
      </c>
      <c r="N10" s="90"/>
      <c r="O10" s="85" t="s">
        <v>155</v>
      </c>
      <c r="P10" s="85" t="s">
        <v>156</v>
      </c>
      <c r="Q10" s="85"/>
      <c r="R10" s="85" t="s">
        <v>31</v>
      </c>
      <c r="S10" s="85" t="s">
        <v>28</v>
      </c>
      <c r="T10" s="85">
        <v>0</v>
      </c>
      <c r="U10" s="85">
        <v>5</v>
      </c>
      <c r="V10" s="85">
        <v>0</v>
      </c>
      <c r="W10" s="85">
        <v>1</v>
      </c>
      <c r="X10" s="85" t="s">
        <v>168</v>
      </c>
      <c r="Y10" s="85" t="e">
        <v>#N/A</v>
      </c>
      <c r="Z10" s="85" t="e">
        <v>#N/A</v>
      </c>
      <c r="AA10" s="85" t="e">
        <v>#N/A</v>
      </c>
      <c r="AB10" s="85" t="s">
        <v>31</v>
      </c>
      <c r="AC10" s="85" t="s">
        <v>157</v>
      </c>
      <c r="AD10" s="85" t="s">
        <v>158</v>
      </c>
      <c r="AE10" s="85" t="s">
        <v>169</v>
      </c>
      <c r="AF10" s="85" t="s">
        <v>329</v>
      </c>
      <c r="AG10" s="85" t="s">
        <v>31</v>
      </c>
      <c r="AH10" s="85">
        <v>400</v>
      </c>
      <c r="AI10" s="85"/>
      <c r="AJ10" s="85" t="s">
        <v>135</v>
      </c>
      <c r="AK10" s="85">
        <v>10</v>
      </c>
      <c r="AL10" s="85">
        <v>0</v>
      </c>
      <c r="AM10" s="85">
        <v>50</v>
      </c>
      <c r="AN10" s="85">
        <v>0</v>
      </c>
      <c r="AO10" s="85">
        <v>0</v>
      </c>
      <c r="AP10" s="85">
        <v>0</v>
      </c>
      <c r="AQ10" s="85">
        <v>10</v>
      </c>
      <c r="AR10" s="56">
        <v>15</v>
      </c>
      <c r="AS10" s="55">
        <v>5</v>
      </c>
      <c r="AT10" s="55">
        <v>40</v>
      </c>
      <c r="AU10" s="55">
        <v>4</v>
      </c>
      <c r="AV10" s="55">
        <v>4</v>
      </c>
      <c r="AW10" s="55">
        <v>4</v>
      </c>
      <c r="AX10" s="55">
        <v>0</v>
      </c>
      <c r="AY10" s="55">
        <v>15</v>
      </c>
      <c r="AZ10" s="56">
        <v>15</v>
      </c>
      <c r="BA10" s="55">
        <v>48</v>
      </c>
      <c r="BB10" s="55">
        <v>2</v>
      </c>
      <c r="BC10" s="55" t="e">
        <f>VLOOKUP($B$9,#REF!,2,TRUE)</f>
        <v>#REF!</v>
      </c>
      <c r="BD10" s="55" t="s">
        <v>31</v>
      </c>
      <c r="BE10" s="55"/>
      <c r="BF10" s="53"/>
      <c r="BG10" s="53"/>
      <c r="BH10" s="53"/>
      <c r="BI10" s="74"/>
      <c r="BJ10" s="48">
        <v>8</v>
      </c>
      <c r="BK10" s="73">
        <v>8</v>
      </c>
      <c r="BL10" s="84"/>
    </row>
    <row r="11" spans="1:64" ht="13.15" customHeight="1">
      <c r="A11" s="104">
        <v>510</v>
      </c>
      <c r="B11" s="105" t="s">
        <v>924</v>
      </c>
      <c r="C11" s="99" t="s">
        <v>925</v>
      </c>
      <c r="D11" s="99" t="s">
        <v>926</v>
      </c>
      <c r="E11" s="99" t="s">
        <v>927</v>
      </c>
      <c r="F11" s="99" t="s">
        <v>880</v>
      </c>
      <c r="G11" s="105" t="s">
        <v>928</v>
      </c>
      <c r="H11" s="105" t="s">
        <v>137</v>
      </c>
      <c r="I11" s="105" t="s">
        <v>882</v>
      </c>
      <c r="J11" s="105" t="s">
        <v>929</v>
      </c>
      <c r="K11" s="106" t="s">
        <v>884</v>
      </c>
      <c r="L11" s="99">
        <v>326</v>
      </c>
      <c r="M11" s="105" t="s">
        <v>154</v>
      </c>
      <c r="N11" s="105"/>
      <c r="O11" s="99" t="s">
        <v>155</v>
      </c>
      <c r="P11" s="99" t="s">
        <v>156</v>
      </c>
      <c r="Q11" s="99"/>
      <c r="R11" s="99" t="s">
        <v>31</v>
      </c>
      <c r="S11" s="99" t="s">
        <v>28</v>
      </c>
      <c r="T11" s="99">
        <v>0</v>
      </c>
      <c r="U11" s="99">
        <v>5</v>
      </c>
      <c r="V11" s="99">
        <v>0</v>
      </c>
      <c r="W11" s="99">
        <v>1</v>
      </c>
      <c r="X11" s="99" t="s">
        <v>168</v>
      </c>
      <c r="Y11" s="99" t="e">
        <v>#N/A</v>
      </c>
      <c r="Z11" s="99" t="e">
        <v>#N/A</v>
      </c>
      <c r="AA11" s="99" t="e">
        <v>#N/A</v>
      </c>
      <c r="AB11" s="99" t="s">
        <v>31</v>
      </c>
      <c r="AC11" s="99" t="s">
        <v>157</v>
      </c>
      <c r="AD11" s="99" t="s">
        <v>158</v>
      </c>
      <c r="AE11" s="99" t="s">
        <v>133</v>
      </c>
      <c r="AF11" s="99" t="s">
        <v>329</v>
      </c>
      <c r="AG11" s="99" t="s">
        <v>31</v>
      </c>
      <c r="AH11" s="99">
        <v>400</v>
      </c>
      <c r="AI11" s="99"/>
      <c r="AJ11" s="99" t="s">
        <v>135</v>
      </c>
      <c r="AK11" s="99">
        <v>10</v>
      </c>
      <c r="AL11" s="99">
        <v>0</v>
      </c>
      <c r="AM11" s="99">
        <v>50</v>
      </c>
      <c r="AN11" s="99">
        <v>0</v>
      </c>
      <c r="AO11" s="99">
        <v>0</v>
      </c>
      <c r="AP11" s="99">
        <v>0</v>
      </c>
      <c r="AQ11" s="99">
        <v>10</v>
      </c>
      <c r="AR11" s="59">
        <v>15</v>
      </c>
      <c r="AS11" s="58">
        <v>5</v>
      </c>
      <c r="AT11" s="58">
        <v>40</v>
      </c>
      <c r="AU11" s="58">
        <v>4</v>
      </c>
      <c r="AV11" s="58">
        <v>4</v>
      </c>
      <c r="AW11" s="58">
        <v>4</v>
      </c>
      <c r="AX11" s="58">
        <v>0</v>
      </c>
      <c r="AY11" s="58">
        <v>15</v>
      </c>
      <c r="AZ11" s="59">
        <v>15</v>
      </c>
      <c r="BA11" s="58">
        <v>48</v>
      </c>
      <c r="BB11" s="58">
        <v>2</v>
      </c>
      <c r="BC11" s="58" t="e">
        <f>VLOOKUP($B$9,#REF!,2,TRUE)</f>
        <v>#REF!</v>
      </c>
      <c r="BD11" s="58" t="s">
        <v>31</v>
      </c>
      <c r="BE11" s="58"/>
      <c r="BG11" s="45"/>
      <c r="BH11" s="45"/>
      <c r="BI11" s="48"/>
      <c r="BJ11" s="48">
        <v>8</v>
      </c>
      <c r="BK11" s="73">
        <v>8</v>
      </c>
    </row>
    <row r="12" spans="1:64" ht="15.75">
      <c r="A12" s="95">
        <v>509</v>
      </c>
      <c r="B12" s="96" t="s">
        <v>930</v>
      </c>
      <c r="C12" s="97" t="s">
        <v>931</v>
      </c>
      <c r="D12" s="97" t="s">
        <v>932</v>
      </c>
      <c r="E12" s="97" t="s">
        <v>933</v>
      </c>
      <c r="F12" s="97" t="s">
        <v>475</v>
      </c>
      <c r="G12" s="96" t="s">
        <v>934</v>
      </c>
      <c r="H12" s="96" t="s">
        <v>137</v>
      </c>
      <c r="I12" s="96" t="s">
        <v>477</v>
      </c>
      <c r="J12" s="96" t="s">
        <v>935</v>
      </c>
      <c r="K12" s="98" t="s">
        <v>936</v>
      </c>
      <c r="L12" s="97">
        <v>326</v>
      </c>
      <c r="M12" s="96" t="s">
        <v>154</v>
      </c>
      <c r="N12" s="96"/>
      <c r="O12" s="97" t="s">
        <v>155</v>
      </c>
      <c r="P12" s="97" t="s">
        <v>156</v>
      </c>
      <c r="Q12" s="97"/>
      <c r="R12" s="97" t="s">
        <v>31</v>
      </c>
      <c r="S12" s="97" t="s">
        <v>28</v>
      </c>
      <c r="T12" s="97">
        <v>0</v>
      </c>
      <c r="U12" s="97">
        <v>5</v>
      </c>
      <c r="V12" s="97">
        <v>0</v>
      </c>
      <c r="W12" s="97">
        <v>1</v>
      </c>
      <c r="X12" s="97" t="s">
        <v>168</v>
      </c>
      <c r="Y12" s="97" t="e">
        <v>#N/A</v>
      </c>
      <c r="Z12" s="97" t="e">
        <v>#N/A</v>
      </c>
      <c r="AA12" s="97" t="e">
        <v>#N/A</v>
      </c>
      <c r="AB12" s="97" t="s">
        <v>31</v>
      </c>
      <c r="AC12" s="97" t="s">
        <v>157</v>
      </c>
      <c r="AD12" s="97" t="s">
        <v>158</v>
      </c>
      <c r="AE12" s="97" t="s">
        <v>133</v>
      </c>
      <c r="AF12" s="97" t="s">
        <v>329</v>
      </c>
      <c r="AG12" s="97" t="s">
        <v>31</v>
      </c>
      <c r="AH12" s="97">
        <v>400</v>
      </c>
      <c r="AI12" s="97"/>
      <c r="AJ12" s="97" t="s">
        <v>135</v>
      </c>
      <c r="AK12" s="97">
        <v>10</v>
      </c>
      <c r="AL12" s="97">
        <v>0</v>
      </c>
      <c r="AM12" s="97">
        <v>50</v>
      </c>
      <c r="AN12" s="97">
        <v>0</v>
      </c>
      <c r="AO12" s="97">
        <v>0</v>
      </c>
      <c r="AP12" s="97">
        <v>0</v>
      </c>
      <c r="AQ12" s="97">
        <v>10</v>
      </c>
      <c r="AR12" s="61">
        <v>15</v>
      </c>
      <c r="AS12" s="60">
        <v>5</v>
      </c>
      <c r="AT12" s="60">
        <v>40</v>
      </c>
      <c r="AU12" s="60">
        <v>4</v>
      </c>
      <c r="AV12" s="60">
        <v>4</v>
      </c>
      <c r="AW12" s="60">
        <v>4</v>
      </c>
      <c r="AX12" s="60">
        <v>0</v>
      </c>
      <c r="AY12" s="60">
        <v>15</v>
      </c>
      <c r="AZ12" s="61">
        <v>15</v>
      </c>
      <c r="BA12" s="60">
        <v>48</v>
      </c>
      <c r="BB12" s="60">
        <v>2</v>
      </c>
      <c r="BC12" s="60" t="e">
        <f>VLOOKUP($B$9,#REF!,2,TRUE)</f>
        <v>#REF!</v>
      </c>
      <c r="BD12" s="60" t="s">
        <v>31</v>
      </c>
      <c r="BE12" s="60"/>
      <c r="BI12" s="48"/>
      <c r="BJ12" s="48">
        <v>8</v>
      </c>
      <c r="BK12" s="73">
        <v>8</v>
      </c>
      <c r="BL12" s="48"/>
    </row>
    <row r="13" spans="1:64" ht="15.75">
      <c r="A13" s="95">
        <v>507</v>
      </c>
      <c r="B13" s="96" t="s">
        <v>937</v>
      </c>
      <c r="C13" s="97" t="s">
        <v>938</v>
      </c>
      <c r="D13" s="97" t="s">
        <v>939</v>
      </c>
      <c r="E13" s="97" t="s">
        <v>940</v>
      </c>
      <c r="F13" s="97" t="s">
        <v>895</v>
      </c>
      <c r="G13" s="96" t="s">
        <v>941</v>
      </c>
      <c r="H13" s="96" t="s">
        <v>137</v>
      </c>
      <c r="I13" s="96" t="s">
        <v>897</v>
      </c>
      <c r="J13" s="96" t="s">
        <v>942</v>
      </c>
      <c r="K13" s="98" t="s">
        <v>899</v>
      </c>
      <c r="L13" s="97">
        <v>326</v>
      </c>
      <c r="M13" s="96" t="s">
        <v>154</v>
      </c>
      <c r="N13" s="96"/>
      <c r="O13" s="97" t="s">
        <v>155</v>
      </c>
      <c r="P13" s="97" t="s">
        <v>156</v>
      </c>
      <c r="Q13" s="97"/>
      <c r="R13" s="97" t="s">
        <v>31</v>
      </c>
      <c r="S13" s="97" t="s">
        <v>28</v>
      </c>
      <c r="T13" s="97">
        <v>0</v>
      </c>
      <c r="U13" s="97">
        <v>5</v>
      </c>
      <c r="V13" s="99">
        <v>0</v>
      </c>
      <c r="W13" s="97">
        <v>1</v>
      </c>
      <c r="X13" s="97" t="s">
        <v>168</v>
      </c>
      <c r="Y13" s="97" t="e">
        <v>#N/A</v>
      </c>
      <c r="Z13" s="97" t="e">
        <v>#N/A</v>
      </c>
      <c r="AA13" s="97" t="e">
        <v>#N/A</v>
      </c>
      <c r="AB13" s="97" t="s">
        <v>31</v>
      </c>
      <c r="AC13" s="97" t="s">
        <v>157</v>
      </c>
      <c r="AD13" s="97" t="s">
        <v>158</v>
      </c>
      <c r="AE13" s="97" t="s">
        <v>169</v>
      </c>
      <c r="AF13" s="97" t="s">
        <v>329</v>
      </c>
      <c r="AG13" s="97" t="s">
        <v>31</v>
      </c>
      <c r="AH13" s="97">
        <v>400</v>
      </c>
      <c r="AI13" s="97"/>
      <c r="AJ13" s="97" t="s">
        <v>135</v>
      </c>
      <c r="AK13" s="97">
        <v>10</v>
      </c>
      <c r="AL13" s="97">
        <v>0</v>
      </c>
      <c r="AM13" s="97">
        <v>50</v>
      </c>
      <c r="AN13" s="97">
        <v>0</v>
      </c>
      <c r="AO13" s="97">
        <v>0</v>
      </c>
      <c r="AP13" s="99">
        <v>0</v>
      </c>
      <c r="AQ13" s="97">
        <v>10</v>
      </c>
      <c r="AR13" s="63">
        <v>15</v>
      </c>
      <c r="AS13" s="62">
        <v>5</v>
      </c>
      <c r="AT13" s="62">
        <v>40</v>
      </c>
      <c r="AU13" s="62">
        <v>4</v>
      </c>
      <c r="AV13" s="62">
        <v>4</v>
      </c>
      <c r="AW13" s="62">
        <v>4</v>
      </c>
      <c r="AX13" s="58">
        <v>0</v>
      </c>
      <c r="AY13" s="62">
        <v>15</v>
      </c>
      <c r="AZ13" s="63">
        <v>15</v>
      </c>
      <c r="BA13" s="62">
        <v>48</v>
      </c>
      <c r="BB13" s="62">
        <v>2</v>
      </c>
      <c r="BC13" s="62" t="e">
        <f>VLOOKUP($B$9,#REF!,2,TRUE)</f>
        <v>#REF!</v>
      </c>
      <c r="BD13" s="62" t="s">
        <v>31</v>
      </c>
      <c r="BE13" s="62"/>
      <c r="BI13" s="48"/>
      <c r="BJ13" s="48">
        <v>8</v>
      </c>
      <c r="BK13" s="73">
        <v>8</v>
      </c>
      <c r="BL13" s="48"/>
    </row>
    <row r="14" spans="1:64" ht="15.75">
      <c r="A14" s="95">
        <v>506</v>
      </c>
      <c r="B14" s="96" t="s">
        <v>943</v>
      </c>
      <c r="C14" s="97" t="s">
        <v>944</v>
      </c>
      <c r="D14" s="97" t="s">
        <v>945</v>
      </c>
      <c r="E14" s="97" t="s">
        <v>946</v>
      </c>
      <c r="F14" s="97" t="s">
        <v>475</v>
      </c>
      <c r="G14" s="96" t="s">
        <v>947</v>
      </c>
      <c r="H14" s="96" t="s">
        <v>137</v>
      </c>
      <c r="I14" s="96" t="s">
        <v>477</v>
      </c>
      <c r="J14" s="96" t="s">
        <v>948</v>
      </c>
      <c r="K14" s="98" t="s">
        <v>479</v>
      </c>
      <c r="L14" s="97">
        <v>326</v>
      </c>
      <c r="M14" s="96" t="s">
        <v>154</v>
      </c>
      <c r="N14" s="96"/>
      <c r="O14" s="97" t="s">
        <v>155</v>
      </c>
      <c r="P14" s="97" t="s">
        <v>156</v>
      </c>
      <c r="Q14" s="97"/>
      <c r="R14" s="97" t="s">
        <v>31</v>
      </c>
      <c r="S14" s="97" t="s">
        <v>28</v>
      </c>
      <c r="T14" s="97">
        <v>0</v>
      </c>
      <c r="U14" s="97">
        <v>5</v>
      </c>
      <c r="V14" s="97">
        <v>0</v>
      </c>
      <c r="W14" s="97">
        <v>1</v>
      </c>
      <c r="X14" s="97" t="s">
        <v>168</v>
      </c>
      <c r="Y14" s="97" t="e">
        <v>#N/A</v>
      </c>
      <c r="Z14" s="97" t="e">
        <v>#N/A</v>
      </c>
      <c r="AA14" s="97" t="e">
        <v>#N/A</v>
      </c>
      <c r="AB14" s="97" t="s">
        <v>31</v>
      </c>
      <c r="AC14" s="97" t="s">
        <v>157</v>
      </c>
      <c r="AD14" s="97" t="s">
        <v>158</v>
      </c>
      <c r="AE14" s="97" t="s">
        <v>133</v>
      </c>
      <c r="AF14" s="97" t="s">
        <v>329</v>
      </c>
      <c r="AG14" s="97" t="s">
        <v>31</v>
      </c>
      <c r="AH14" s="97">
        <v>400</v>
      </c>
      <c r="AI14" s="97"/>
      <c r="AJ14" s="97" t="s">
        <v>135</v>
      </c>
      <c r="AK14" s="97">
        <v>10</v>
      </c>
      <c r="AL14" s="97">
        <v>0</v>
      </c>
      <c r="AM14" s="97">
        <v>50</v>
      </c>
      <c r="AN14" s="97">
        <v>0</v>
      </c>
      <c r="AO14" s="97">
        <v>0</v>
      </c>
      <c r="AP14" s="97">
        <v>0</v>
      </c>
      <c r="AQ14" s="97">
        <v>10</v>
      </c>
      <c r="AR14" s="61">
        <v>15</v>
      </c>
      <c r="AS14" s="60">
        <v>5</v>
      </c>
      <c r="AT14" s="60">
        <v>40</v>
      </c>
      <c r="AU14" s="60">
        <v>4</v>
      </c>
      <c r="AV14" s="60">
        <v>4</v>
      </c>
      <c r="AW14" s="60">
        <v>4</v>
      </c>
      <c r="AX14" s="60">
        <v>0</v>
      </c>
      <c r="AY14" s="60">
        <v>15</v>
      </c>
      <c r="AZ14" s="61">
        <v>15</v>
      </c>
      <c r="BA14" s="60">
        <v>48</v>
      </c>
      <c r="BB14" s="60">
        <v>2</v>
      </c>
      <c r="BC14" s="60" t="e">
        <f>VLOOKUP($B$9,#REF!,2,TRUE)</f>
        <v>#REF!</v>
      </c>
      <c r="BD14" s="60" t="s">
        <v>31</v>
      </c>
      <c r="BE14" s="60"/>
      <c r="BI14" s="48"/>
      <c r="BJ14" s="48">
        <v>8</v>
      </c>
      <c r="BK14" s="73">
        <v>8</v>
      </c>
      <c r="BL14" s="75"/>
    </row>
    <row r="15" spans="1:64" ht="15.75">
      <c r="A15" s="95">
        <v>505</v>
      </c>
      <c r="B15" s="96" t="s">
        <v>949</v>
      </c>
      <c r="C15" s="97" t="s">
        <v>950</v>
      </c>
      <c r="D15" s="97" t="s">
        <v>951</v>
      </c>
      <c r="E15" s="97" t="s">
        <v>952</v>
      </c>
      <c r="F15" s="97" t="s">
        <v>880</v>
      </c>
      <c r="G15" s="96" t="s">
        <v>953</v>
      </c>
      <c r="H15" s="96" t="s">
        <v>137</v>
      </c>
      <c r="I15" s="96" t="s">
        <v>882</v>
      </c>
      <c r="J15" s="96" t="s">
        <v>954</v>
      </c>
      <c r="K15" s="98" t="s">
        <v>884</v>
      </c>
      <c r="L15" s="97">
        <v>326</v>
      </c>
      <c r="M15" s="96" t="s">
        <v>154</v>
      </c>
      <c r="N15" s="96"/>
      <c r="O15" s="97" t="s">
        <v>155</v>
      </c>
      <c r="P15" s="97" t="s">
        <v>156</v>
      </c>
      <c r="Q15" s="97"/>
      <c r="R15" s="97" t="s">
        <v>31</v>
      </c>
      <c r="S15" s="97" t="s">
        <v>28</v>
      </c>
      <c r="T15" s="97">
        <v>0</v>
      </c>
      <c r="U15" s="97">
        <v>5</v>
      </c>
      <c r="V15" s="99">
        <v>0</v>
      </c>
      <c r="W15" s="97">
        <v>1</v>
      </c>
      <c r="X15" s="97" t="s">
        <v>168</v>
      </c>
      <c r="Y15" s="97" t="e">
        <v>#N/A</v>
      </c>
      <c r="Z15" s="97" t="e">
        <v>#N/A</v>
      </c>
      <c r="AA15" s="97" t="e">
        <v>#N/A</v>
      </c>
      <c r="AB15" s="97" t="s">
        <v>31</v>
      </c>
      <c r="AC15" s="97" t="s">
        <v>157</v>
      </c>
      <c r="AD15" s="97" t="s">
        <v>158</v>
      </c>
      <c r="AE15" s="97" t="s">
        <v>133</v>
      </c>
      <c r="AF15" s="97" t="s">
        <v>329</v>
      </c>
      <c r="AG15" s="97" t="s">
        <v>31</v>
      </c>
      <c r="AH15" s="97">
        <v>400</v>
      </c>
      <c r="AI15" s="97"/>
      <c r="AJ15" s="97" t="s">
        <v>135</v>
      </c>
      <c r="AK15" s="97">
        <v>10</v>
      </c>
      <c r="AL15" s="97">
        <v>0</v>
      </c>
      <c r="AM15" s="97">
        <v>50</v>
      </c>
      <c r="AN15" s="97">
        <v>0</v>
      </c>
      <c r="AO15" s="97">
        <v>0</v>
      </c>
      <c r="AP15" s="99">
        <v>0</v>
      </c>
      <c r="AQ15" s="97">
        <v>10</v>
      </c>
      <c r="AR15" s="63">
        <v>15</v>
      </c>
      <c r="AS15" s="62">
        <v>5</v>
      </c>
      <c r="AT15" s="62">
        <v>40</v>
      </c>
      <c r="AU15" s="62">
        <v>4</v>
      </c>
      <c r="AV15" s="62">
        <v>4</v>
      </c>
      <c r="AW15" s="62">
        <v>4</v>
      </c>
      <c r="AX15" s="58">
        <v>0</v>
      </c>
      <c r="AY15" s="62">
        <v>15</v>
      </c>
      <c r="AZ15" s="63">
        <v>15</v>
      </c>
      <c r="BA15" s="62">
        <v>48</v>
      </c>
      <c r="BB15" s="62">
        <v>2</v>
      </c>
      <c r="BC15" s="62" t="e">
        <f>VLOOKUP($B$9,#REF!,2,TRUE)</f>
        <v>#REF!</v>
      </c>
      <c r="BD15" s="62" t="s">
        <v>31</v>
      </c>
      <c r="BE15" s="62"/>
      <c r="BI15" s="48"/>
      <c r="BJ15" s="48">
        <v>8</v>
      </c>
      <c r="BK15" s="48">
        <v>8</v>
      </c>
      <c r="BL15" s="48"/>
    </row>
    <row r="16" spans="1:64" ht="15.75">
      <c r="A16" s="95">
        <v>504</v>
      </c>
      <c r="B16" s="96" t="s">
        <v>955</v>
      </c>
      <c r="C16" s="97" t="s">
        <v>956</v>
      </c>
      <c r="D16" s="97" t="s">
        <v>957</v>
      </c>
      <c r="E16" s="97" t="s">
        <v>958</v>
      </c>
      <c r="F16" s="97" t="s">
        <v>959</v>
      </c>
      <c r="G16" s="96" t="s">
        <v>960</v>
      </c>
      <c r="H16" s="96" t="s">
        <v>137</v>
      </c>
      <c r="I16" s="96" t="s">
        <v>961</v>
      </c>
      <c r="J16" s="96" t="s">
        <v>962</v>
      </c>
      <c r="K16" s="98" t="s">
        <v>884</v>
      </c>
      <c r="L16" s="97">
        <v>326</v>
      </c>
      <c r="M16" s="96" t="s">
        <v>154</v>
      </c>
      <c r="N16" s="96"/>
      <c r="O16" s="97" t="s">
        <v>155</v>
      </c>
      <c r="P16" s="97" t="s">
        <v>156</v>
      </c>
      <c r="Q16" s="97"/>
      <c r="R16" s="97" t="s">
        <v>31</v>
      </c>
      <c r="S16" s="97" t="s">
        <v>28</v>
      </c>
      <c r="T16" s="97">
        <v>0</v>
      </c>
      <c r="U16" s="97">
        <v>5</v>
      </c>
      <c r="V16" s="97">
        <v>0</v>
      </c>
      <c r="W16" s="97">
        <v>2</v>
      </c>
      <c r="X16" s="97" t="s">
        <v>168</v>
      </c>
      <c r="Y16" s="97" t="s">
        <v>168</v>
      </c>
      <c r="Z16" s="97" t="e">
        <v>#N/A</v>
      </c>
      <c r="AA16" s="97" t="e">
        <v>#N/A</v>
      </c>
      <c r="AB16" s="97" t="s">
        <v>31</v>
      </c>
      <c r="AC16" s="97" t="s">
        <v>157</v>
      </c>
      <c r="AD16" s="97" t="s">
        <v>158</v>
      </c>
      <c r="AE16" s="97" t="s">
        <v>133</v>
      </c>
      <c r="AF16" s="97" t="s">
        <v>329</v>
      </c>
      <c r="AG16" s="97" t="s">
        <v>31</v>
      </c>
      <c r="AH16" s="97">
        <v>400</v>
      </c>
      <c r="AI16" s="97"/>
      <c r="AJ16" s="97" t="s">
        <v>135</v>
      </c>
      <c r="AK16" s="97">
        <v>10</v>
      </c>
      <c r="AL16" s="97">
        <v>0</v>
      </c>
      <c r="AM16" s="97">
        <v>50</v>
      </c>
      <c r="AN16" s="97">
        <v>0</v>
      </c>
      <c r="AO16" s="97">
        <v>0</v>
      </c>
      <c r="AP16" s="97">
        <v>0</v>
      </c>
      <c r="AQ16" s="97">
        <v>10</v>
      </c>
      <c r="AR16" s="61">
        <v>15</v>
      </c>
      <c r="AS16" s="60">
        <v>5</v>
      </c>
      <c r="AT16" s="60">
        <v>40</v>
      </c>
      <c r="AU16" s="60">
        <v>4</v>
      </c>
      <c r="AV16" s="60">
        <v>4</v>
      </c>
      <c r="AW16" s="60">
        <v>4</v>
      </c>
      <c r="AX16" s="60">
        <v>0</v>
      </c>
      <c r="AY16" s="60">
        <v>15</v>
      </c>
      <c r="AZ16" s="61">
        <v>15</v>
      </c>
      <c r="BA16" s="60">
        <v>48</v>
      </c>
      <c r="BB16" s="60">
        <v>2</v>
      </c>
      <c r="BC16" s="60" t="e">
        <f>VLOOKUP($B$9,#REF!,2,TRUE)</f>
        <v>#REF!</v>
      </c>
      <c r="BD16" s="60" t="s">
        <v>31</v>
      </c>
      <c r="BE16" s="60"/>
      <c r="BI16" s="48"/>
      <c r="BJ16" s="48">
        <v>8</v>
      </c>
      <c r="BK16" s="73">
        <v>8</v>
      </c>
      <c r="BL16" s="48"/>
    </row>
    <row r="17" spans="1:64" s="45" customFormat="1" ht="15.75">
      <c r="A17" s="95">
        <v>503</v>
      </c>
      <c r="B17" s="96" t="s">
        <v>963</v>
      </c>
      <c r="C17" s="97" t="s">
        <v>964</v>
      </c>
      <c r="D17" s="97" t="s">
        <v>965</v>
      </c>
      <c r="E17" s="97" t="s">
        <v>966</v>
      </c>
      <c r="F17" s="97" t="s">
        <v>959</v>
      </c>
      <c r="G17" s="96" t="s">
        <v>967</v>
      </c>
      <c r="H17" s="96" t="s">
        <v>137</v>
      </c>
      <c r="I17" s="96" t="s">
        <v>961</v>
      </c>
      <c r="J17" s="96" t="s">
        <v>968</v>
      </c>
      <c r="K17" s="98" t="s">
        <v>884</v>
      </c>
      <c r="L17" s="97">
        <v>326</v>
      </c>
      <c r="M17" s="96" t="s">
        <v>154</v>
      </c>
      <c r="N17" s="96"/>
      <c r="O17" s="97" t="s">
        <v>155</v>
      </c>
      <c r="P17" s="97" t="s">
        <v>156</v>
      </c>
      <c r="Q17" s="97"/>
      <c r="R17" s="97" t="s">
        <v>31</v>
      </c>
      <c r="S17" s="97" t="s">
        <v>28</v>
      </c>
      <c r="T17" s="97">
        <v>0</v>
      </c>
      <c r="U17" s="97">
        <v>5</v>
      </c>
      <c r="V17" s="97">
        <v>0</v>
      </c>
      <c r="W17" s="97">
        <v>1</v>
      </c>
      <c r="X17" s="97" t="s">
        <v>168</v>
      </c>
      <c r="Y17" s="97" t="e">
        <v>#N/A</v>
      </c>
      <c r="Z17" s="97" t="e">
        <v>#N/A</v>
      </c>
      <c r="AA17" s="97" t="e">
        <v>#N/A</v>
      </c>
      <c r="AB17" s="97" t="s">
        <v>31</v>
      </c>
      <c r="AC17" s="97" t="s">
        <v>157</v>
      </c>
      <c r="AD17" s="97" t="s">
        <v>158</v>
      </c>
      <c r="AE17" s="97" t="s">
        <v>133</v>
      </c>
      <c r="AF17" s="97" t="s">
        <v>329</v>
      </c>
      <c r="AG17" s="97" t="s">
        <v>31</v>
      </c>
      <c r="AH17" s="97">
        <v>400</v>
      </c>
      <c r="AI17" s="97"/>
      <c r="AJ17" s="97"/>
      <c r="AK17" s="97">
        <v>10</v>
      </c>
      <c r="AL17" s="97">
        <v>0</v>
      </c>
      <c r="AM17" s="97">
        <v>50</v>
      </c>
      <c r="AN17" s="97">
        <v>0</v>
      </c>
      <c r="AO17" s="97">
        <v>0</v>
      </c>
      <c r="AP17" s="99">
        <v>0</v>
      </c>
      <c r="AQ17" s="97">
        <v>10</v>
      </c>
      <c r="AR17" s="63">
        <v>15</v>
      </c>
      <c r="AS17" s="62">
        <v>5</v>
      </c>
      <c r="AT17" s="62">
        <v>40</v>
      </c>
      <c r="AU17" s="62">
        <v>4</v>
      </c>
      <c r="AV17" s="62">
        <v>4</v>
      </c>
      <c r="AW17" s="62">
        <v>4</v>
      </c>
      <c r="AX17" s="58">
        <v>0</v>
      </c>
      <c r="AY17" s="62">
        <v>15</v>
      </c>
      <c r="AZ17" s="63">
        <v>15</v>
      </c>
      <c r="BA17" s="62">
        <v>48</v>
      </c>
      <c r="BB17" s="62">
        <v>2</v>
      </c>
      <c r="BC17" s="62" t="e">
        <f>VLOOKUP($B$9,#REF!,2,TRUE)</f>
        <v>#REF!</v>
      </c>
      <c r="BD17" s="62" t="s">
        <v>31</v>
      </c>
      <c r="BE17" s="62"/>
      <c r="BG17" s="48"/>
      <c r="BH17" s="48"/>
      <c r="BI17" s="48"/>
      <c r="BJ17" s="48">
        <v>8</v>
      </c>
      <c r="BK17" s="73">
        <v>8</v>
      </c>
      <c r="BL17" s="48"/>
    </row>
    <row r="18" spans="1:64" s="45" customFormat="1" ht="15.75">
      <c r="A18" s="95">
        <v>502</v>
      </c>
      <c r="B18" s="96" t="s">
        <v>969</v>
      </c>
      <c r="C18" s="97" t="s">
        <v>950</v>
      </c>
      <c r="D18" s="97" t="s">
        <v>970</v>
      </c>
      <c r="E18" s="97" t="s">
        <v>952</v>
      </c>
      <c r="F18" s="97" t="s">
        <v>880</v>
      </c>
      <c r="G18" s="96" t="s">
        <v>971</v>
      </c>
      <c r="H18" s="96" t="s">
        <v>137</v>
      </c>
      <c r="I18" s="96" t="s">
        <v>882</v>
      </c>
      <c r="J18" s="96" t="s">
        <v>972</v>
      </c>
      <c r="K18" s="98" t="s">
        <v>884</v>
      </c>
      <c r="L18" s="97">
        <v>326</v>
      </c>
      <c r="M18" s="96" t="s">
        <v>154</v>
      </c>
      <c r="N18" s="96"/>
      <c r="O18" s="97" t="s">
        <v>155</v>
      </c>
      <c r="P18" s="97" t="s">
        <v>156</v>
      </c>
      <c r="Q18" s="97"/>
      <c r="R18" s="97" t="s">
        <v>31</v>
      </c>
      <c r="S18" s="97" t="s">
        <v>28</v>
      </c>
      <c r="T18" s="97">
        <v>0</v>
      </c>
      <c r="U18" s="97">
        <v>5</v>
      </c>
      <c r="V18" s="97">
        <v>0</v>
      </c>
      <c r="W18" s="97">
        <v>1</v>
      </c>
      <c r="X18" s="97" t="s">
        <v>168</v>
      </c>
      <c r="Y18" s="97" t="e">
        <v>#N/A</v>
      </c>
      <c r="Z18" s="97" t="e">
        <v>#N/A</v>
      </c>
      <c r="AA18" s="97" t="e">
        <v>#N/A</v>
      </c>
      <c r="AB18" s="97" t="s">
        <v>31</v>
      </c>
      <c r="AC18" s="97" t="s">
        <v>157</v>
      </c>
      <c r="AD18" s="97" t="s">
        <v>158</v>
      </c>
      <c r="AE18" s="97" t="s">
        <v>133</v>
      </c>
      <c r="AF18" s="97" t="s">
        <v>329</v>
      </c>
      <c r="AG18" s="97" t="s">
        <v>31</v>
      </c>
      <c r="AH18" s="97">
        <v>400</v>
      </c>
      <c r="AI18" s="97" t="s">
        <v>973</v>
      </c>
      <c r="AJ18" s="97" t="s">
        <v>135</v>
      </c>
      <c r="AK18" s="97">
        <v>10</v>
      </c>
      <c r="AL18" s="97">
        <v>0</v>
      </c>
      <c r="AM18" s="97">
        <v>50</v>
      </c>
      <c r="AN18" s="97">
        <v>0</v>
      </c>
      <c r="AO18" s="97">
        <v>0</v>
      </c>
      <c r="AP18" s="97">
        <v>0</v>
      </c>
      <c r="AQ18" s="97">
        <v>10</v>
      </c>
      <c r="AR18" s="61">
        <v>15</v>
      </c>
      <c r="AS18" s="60">
        <v>5</v>
      </c>
      <c r="AT18" s="60">
        <v>40</v>
      </c>
      <c r="AU18" s="60">
        <v>4</v>
      </c>
      <c r="AV18" s="60">
        <v>4</v>
      </c>
      <c r="AW18" s="60">
        <v>4</v>
      </c>
      <c r="AX18" s="60">
        <v>0</v>
      </c>
      <c r="AY18" s="60">
        <v>15</v>
      </c>
      <c r="AZ18" s="61">
        <v>15</v>
      </c>
      <c r="BA18" s="60">
        <v>48</v>
      </c>
      <c r="BB18" s="60">
        <v>2</v>
      </c>
      <c r="BC18" s="60" t="e">
        <f>VLOOKUP($B$9,#REF!,2,TRUE)</f>
        <v>#REF!</v>
      </c>
      <c r="BD18" s="60" t="s">
        <v>31</v>
      </c>
      <c r="BE18" s="60"/>
      <c r="BG18" s="48"/>
      <c r="BH18" s="48"/>
      <c r="BI18" s="48"/>
      <c r="BJ18" s="48">
        <v>8</v>
      </c>
      <c r="BK18" s="73">
        <v>8</v>
      </c>
      <c r="BL18" s="48"/>
    </row>
    <row r="19" spans="1:64" s="45" customFormat="1" ht="15.75">
      <c r="A19" s="95">
        <v>501</v>
      </c>
      <c r="B19" s="96" t="s">
        <v>974</v>
      </c>
      <c r="C19" s="97" t="s">
        <v>975</v>
      </c>
      <c r="D19" s="97" t="s">
        <v>976</v>
      </c>
      <c r="E19" s="97" t="s">
        <v>977</v>
      </c>
      <c r="F19" s="97" t="s">
        <v>978</v>
      </c>
      <c r="G19" s="96" t="s">
        <v>979</v>
      </c>
      <c r="H19" s="96" t="s">
        <v>137</v>
      </c>
      <c r="I19" s="96" t="s">
        <v>961</v>
      </c>
      <c r="J19" s="96" t="s">
        <v>980</v>
      </c>
      <c r="K19" s="98" t="s">
        <v>479</v>
      </c>
      <c r="L19" s="97">
        <v>326</v>
      </c>
      <c r="M19" s="96" t="s">
        <v>154</v>
      </c>
      <c r="N19" s="96"/>
      <c r="O19" s="97" t="s">
        <v>155</v>
      </c>
      <c r="P19" s="97" t="s">
        <v>156</v>
      </c>
      <c r="Q19" s="97"/>
      <c r="R19" s="97" t="s">
        <v>31</v>
      </c>
      <c r="S19" s="97" t="s">
        <v>28</v>
      </c>
      <c r="T19" s="97">
        <v>0</v>
      </c>
      <c r="U19" s="97">
        <v>5</v>
      </c>
      <c r="V19" s="97">
        <v>0</v>
      </c>
      <c r="W19" s="97">
        <v>1</v>
      </c>
      <c r="X19" s="97" t="s">
        <v>168</v>
      </c>
      <c r="Y19" s="97" t="e">
        <v>#N/A</v>
      </c>
      <c r="Z19" s="97" t="e">
        <v>#N/A</v>
      </c>
      <c r="AA19" s="97" t="e">
        <v>#N/A</v>
      </c>
      <c r="AB19" s="97" t="s">
        <v>31</v>
      </c>
      <c r="AC19" s="97" t="s">
        <v>157</v>
      </c>
      <c r="AD19" s="97" t="s">
        <v>158</v>
      </c>
      <c r="AE19" s="97" t="s">
        <v>133</v>
      </c>
      <c r="AF19" s="97" t="s">
        <v>329</v>
      </c>
      <c r="AG19" s="97" t="s">
        <v>31</v>
      </c>
      <c r="AH19" s="97">
        <v>400</v>
      </c>
      <c r="AI19" s="97"/>
      <c r="AJ19" s="97" t="s">
        <v>135</v>
      </c>
      <c r="AK19" s="97">
        <v>10</v>
      </c>
      <c r="AL19" s="97">
        <v>0</v>
      </c>
      <c r="AM19" s="97">
        <v>50</v>
      </c>
      <c r="AN19" s="97">
        <v>0</v>
      </c>
      <c r="AO19" s="97">
        <v>0</v>
      </c>
      <c r="AP19" s="99">
        <v>0</v>
      </c>
      <c r="AQ19" s="97">
        <v>10</v>
      </c>
      <c r="AR19" s="63">
        <v>15</v>
      </c>
      <c r="AS19" s="62">
        <v>5</v>
      </c>
      <c r="AT19" s="62">
        <v>40</v>
      </c>
      <c r="AU19" s="62">
        <v>4</v>
      </c>
      <c r="AV19" s="62">
        <v>4</v>
      </c>
      <c r="AW19" s="62">
        <v>4</v>
      </c>
      <c r="AX19" s="58">
        <v>0</v>
      </c>
      <c r="AY19" s="62">
        <v>15</v>
      </c>
      <c r="AZ19" s="63">
        <v>15</v>
      </c>
      <c r="BA19" s="62">
        <v>48</v>
      </c>
      <c r="BB19" s="62">
        <v>2</v>
      </c>
      <c r="BC19" s="62" t="e">
        <f>VLOOKUP($B$9,#REF!,2,TRUE)</f>
        <v>#REF!</v>
      </c>
      <c r="BD19" s="62" t="s">
        <v>31</v>
      </c>
      <c r="BE19" s="62"/>
      <c r="BG19" s="48"/>
      <c r="BH19" s="48"/>
      <c r="BI19" s="48"/>
      <c r="BJ19" s="48">
        <v>8</v>
      </c>
      <c r="BK19" s="73">
        <v>8</v>
      </c>
      <c r="BL19" s="48"/>
    </row>
    <row r="20" spans="1:64" s="45" customFormat="1" ht="15.75">
      <c r="A20" s="95">
        <v>21</v>
      </c>
      <c r="B20" s="96" t="s">
        <v>1046</v>
      </c>
      <c r="C20" s="97" t="s">
        <v>1047</v>
      </c>
      <c r="D20" s="97" t="s">
        <v>1048</v>
      </c>
      <c r="E20" s="97" t="s">
        <v>1049</v>
      </c>
      <c r="F20" s="97" t="s">
        <v>296</v>
      </c>
      <c r="G20" s="96" t="s">
        <v>1050</v>
      </c>
      <c r="H20" s="96" t="s">
        <v>123</v>
      </c>
      <c r="I20" s="96" t="s">
        <v>124</v>
      </c>
      <c r="J20" s="96" t="s">
        <v>1051</v>
      </c>
      <c r="K20" s="98" t="s">
        <v>574</v>
      </c>
      <c r="L20" s="97">
        <v>300</v>
      </c>
      <c r="M20" s="96" t="s">
        <v>154</v>
      </c>
      <c r="N20" s="96"/>
      <c r="O20" s="97" t="s">
        <v>155</v>
      </c>
      <c r="P20" s="97" t="s">
        <v>28</v>
      </c>
      <c r="Q20" s="97" t="s">
        <v>31</v>
      </c>
      <c r="R20" s="97" t="s">
        <v>31</v>
      </c>
      <c r="S20" s="97" t="s">
        <v>167</v>
      </c>
      <c r="T20" s="97">
        <v>2</v>
      </c>
      <c r="U20" s="97">
        <v>5</v>
      </c>
      <c r="V20" s="97">
        <v>0</v>
      </c>
      <c r="W20" s="97">
        <v>2</v>
      </c>
      <c r="X20" s="97" t="s">
        <v>168</v>
      </c>
      <c r="Y20" s="97" t="s">
        <v>168</v>
      </c>
      <c r="Z20" s="97" t="e">
        <v>#N/A</v>
      </c>
      <c r="AA20" s="97" t="e">
        <v>#N/A</v>
      </c>
      <c r="AB20" s="97"/>
      <c r="AC20" s="97" t="s">
        <v>157</v>
      </c>
      <c r="AD20" s="97" t="s">
        <v>132</v>
      </c>
      <c r="AE20" s="97" t="s">
        <v>133</v>
      </c>
      <c r="AF20" s="97" t="s">
        <v>329</v>
      </c>
      <c r="AG20" s="97" t="s">
        <v>31</v>
      </c>
      <c r="AH20" s="97">
        <v>494</v>
      </c>
      <c r="AI20" s="97"/>
      <c r="AJ20" s="97" t="s">
        <v>135</v>
      </c>
      <c r="AK20" s="97">
        <v>10</v>
      </c>
      <c r="AL20" s="97">
        <v>0</v>
      </c>
      <c r="AM20" s="97">
        <v>50</v>
      </c>
      <c r="AN20" s="97">
        <v>10</v>
      </c>
      <c r="AO20" s="97">
        <v>8</v>
      </c>
      <c r="AP20" s="97">
        <v>0</v>
      </c>
      <c r="AQ20" s="97">
        <v>10</v>
      </c>
      <c r="AR20" s="63">
        <v>17</v>
      </c>
      <c r="AS20" s="62">
        <v>7</v>
      </c>
      <c r="AT20" s="62">
        <v>40</v>
      </c>
      <c r="AU20" s="62">
        <v>4</v>
      </c>
      <c r="AV20" s="62">
        <v>4</v>
      </c>
      <c r="AW20" s="62">
        <v>4</v>
      </c>
      <c r="AX20" s="60">
        <v>0</v>
      </c>
      <c r="AY20" s="60">
        <v>15</v>
      </c>
      <c r="AZ20" s="63">
        <v>15</v>
      </c>
      <c r="BA20" s="62">
        <v>48</v>
      </c>
      <c r="BB20" s="62">
        <v>2</v>
      </c>
      <c r="BC20" s="62" t="e">
        <f>VLOOKUP($B$9,#REF!,2,TRUE)</f>
        <v>#REF!</v>
      </c>
      <c r="BD20" s="62" t="s">
        <v>31</v>
      </c>
      <c r="BE20" s="62"/>
      <c r="BG20" s="48"/>
      <c r="BH20" s="48"/>
      <c r="BI20" s="48"/>
      <c r="BJ20" s="48">
        <v>8</v>
      </c>
      <c r="BK20" s="73">
        <v>8</v>
      </c>
      <c r="BL20" s="48"/>
    </row>
    <row r="21" spans="1:64" s="45" customFormat="1" ht="15.75">
      <c r="A21" s="95">
        <v>404</v>
      </c>
      <c r="B21" s="96" t="s">
        <v>1158</v>
      </c>
      <c r="C21" s="97" t="s">
        <v>1159</v>
      </c>
      <c r="D21" s="97" t="s">
        <v>1160</v>
      </c>
      <c r="E21" s="97" t="s">
        <v>1161</v>
      </c>
      <c r="F21" s="97" t="s">
        <v>731</v>
      </c>
      <c r="G21" s="96" t="s">
        <v>1162</v>
      </c>
      <c r="H21" s="96" t="s">
        <v>123</v>
      </c>
      <c r="I21" s="96" t="s">
        <v>124</v>
      </c>
      <c r="J21" s="96" t="s">
        <v>1163</v>
      </c>
      <c r="K21" s="98" t="s">
        <v>734</v>
      </c>
      <c r="L21" s="97">
        <v>342</v>
      </c>
      <c r="M21" s="96" t="s">
        <v>154</v>
      </c>
      <c r="N21" s="96"/>
      <c r="O21" s="97" t="s">
        <v>128</v>
      </c>
      <c r="P21" s="97" t="s">
        <v>31</v>
      </c>
      <c r="Q21" s="97" t="s">
        <v>31</v>
      </c>
      <c r="R21" s="97" t="s">
        <v>28</v>
      </c>
      <c r="S21" s="97" t="s">
        <v>167</v>
      </c>
      <c r="T21" s="97">
        <v>2</v>
      </c>
      <c r="U21" s="97">
        <v>5</v>
      </c>
      <c r="V21" s="97">
        <v>0</v>
      </c>
      <c r="W21" s="97">
        <v>2</v>
      </c>
      <c r="X21" s="97" t="s">
        <v>168</v>
      </c>
      <c r="Y21" s="97" t="s">
        <v>168</v>
      </c>
      <c r="Z21" s="97" t="e">
        <v>#N/A</v>
      </c>
      <c r="AA21" s="97" t="e">
        <v>#N/A</v>
      </c>
      <c r="AB21" s="97"/>
      <c r="AC21" s="97" t="s">
        <v>157</v>
      </c>
      <c r="AD21" s="97" t="s">
        <v>132</v>
      </c>
      <c r="AE21" s="97" t="s">
        <v>133</v>
      </c>
      <c r="AF21" s="97" t="s">
        <v>329</v>
      </c>
      <c r="AG21" s="97" t="s">
        <v>31</v>
      </c>
      <c r="AH21" s="97">
        <v>494</v>
      </c>
      <c r="AI21" s="97">
        <v>500</v>
      </c>
      <c r="AJ21" s="97" t="s">
        <v>369</v>
      </c>
      <c r="AK21" s="97">
        <v>10</v>
      </c>
      <c r="AL21" s="97">
        <v>0</v>
      </c>
      <c r="AM21" s="97">
        <v>50</v>
      </c>
      <c r="AN21" s="97">
        <v>10</v>
      </c>
      <c r="AO21" s="97">
        <v>8</v>
      </c>
      <c r="AP21" s="99">
        <v>0</v>
      </c>
      <c r="AQ21" s="97">
        <v>10</v>
      </c>
      <c r="AR21" s="61">
        <v>17</v>
      </c>
      <c r="AS21" s="60">
        <v>7</v>
      </c>
      <c r="AT21" s="60">
        <v>40</v>
      </c>
      <c r="AU21" s="60">
        <v>4</v>
      </c>
      <c r="AV21" s="60">
        <v>4</v>
      </c>
      <c r="AW21" s="60">
        <v>4</v>
      </c>
      <c r="AX21" s="64">
        <v>0</v>
      </c>
      <c r="AY21" s="60">
        <v>15</v>
      </c>
      <c r="AZ21" s="61">
        <v>15</v>
      </c>
      <c r="BA21" s="60">
        <v>48</v>
      </c>
      <c r="BB21" s="60">
        <v>2</v>
      </c>
      <c r="BC21" s="60" t="e">
        <f>VLOOKUP($B$9,#REF!,2,TRUE)</f>
        <v>#REF!</v>
      </c>
      <c r="BD21" s="60" t="s">
        <v>31</v>
      </c>
      <c r="BE21" s="60"/>
      <c r="BG21" s="48"/>
      <c r="BH21" s="48"/>
      <c r="BI21" s="48"/>
      <c r="BJ21" s="48">
        <v>8</v>
      </c>
      <c r="BK21" s="73">
        <v>8</v>
      </c>
      <c r="BL21" s="48"/>
    </row>
    <row r="22" spans="1:64" s="45" customFormat="1" ht="15.75">
      <c r="A22" s="95">
        <v>47</v>
      </c>
      <c r="B22" s="96" t="s">
        <v>759</v>
      </c>
      <c r="C22" s="97" t="s">
        <v>760</v>
      </c>
      <c r="D22" s="97" t="s">
        <v>761</v>
      </c>
      <c r="E22" s="97" t="s">
        <v>762</v>
      </c>
      <c r="F22" s="97" t="s">
        <v>635</v>
      </c>
      <c r="G22" s="96" t="s">
        <v>763</v>
      </c>
      <c r="H22" s="96" t="s">
        <v>123</v>
      </c>
      <c r="I22" s="96" t="s">
        <v>124</v>
      </c>
      <c r="J22" s="96" t="s">
        <v>764</v>
      </c>
      <c r="K22" s="98" t="s">
        <v>583</v>
      </c>
      <c r="L22" s="97">
        <v>405</v>
      </c>
      <c r="M22" s="96" t="s">
        <v>154</v>
      </c>
      <c r="N22" s="96"/>
      <c r="O22" s="97" t="s">
        <v>128</v>
      </c>
      <c r="P22" s="97" t="s">
        <v>31</v>
      </c>
      <c r="Q22" s="97" t="s">
        <v>31</v>
      </c>
      <c r="R22" s="97" t="s">
        <v>31</v>
      </c>
      <c r="S22" s="97" t="s">
        <v>177</v>
      </c>
      <c r="T22" s="97">
        <v>3</v>
      </c>
      <c r="U22" s="97">
        <v>5</v>
      </c>
      <c r="V22" s="97">
        <v>0</v>
      </c>
      <c r="W22" s="97">
        <v>1</v>
      </c>
      <c r="X22" s="97" t="s">
        <v>168</v>
      </c>
      <c r="Y22" s="97" t="e">
        <v>#N/A</v>
      </c>
      <c r="Z22" s="97" t="e">
        <v>#N/A</v>
      </c>
      <c r="AA22" s="97" t="e">
        <v>#N/A</v>
      </c>
      <c r="AB22" s="97"/>
      <c r="AC22" s="97" t="s">
        <v>157</v>
      </c>
      <c r="AD22" s="97" t="s">
        <v>132</v>
      </c>
      <c r="AE22" s="97" t="s">
        <v>133</v>
      </c>
      <c r="AF22" s="97" t="s">
        <v>329</v>
      </c>
      <c r="AG22" s="97" t="s">
        <v>31</v>
      </c>
      <c r="AH22" s="97">
        <v>541</v>
      </c>
      <c r="AI22" s="97"/>
      <c r="AJ22" s="97" t="s">
        <v>135</v>
      </c>
      <c r="AK22" s="97">
        <v>10</v>
      </c>
      <c r="AL22" s="97">
        <v>0</v>
      </c>
      <c r="AM22" s="97">
        <v>50</v>
      </c>
      <c r="AN22" s="97">
        <v>15</v>
      </c>
      <c r="AO22" s="97">
        <v>12</v>
      </c>
      <c r="AP22" s="97">
        <v>0</v>
      </c>
      <c r="AQ22" s="97">
        <v>12</v>
      </c>
      <c r="AR22" s="61">
        <v>18</v>
      </c>
      <c r="AS22" s="60">
        <v>8</v>
      </c>
      <c r="AT22" s="60">
        <v>40</v>
      </c>
      <c r="AU22" s="60">
        <v>4</v>
      </c>
      <c r="AV22" s="60">
        <v>4</v>
      </c>
      <c r="AW22" s="60">
        <v>4</v>
      </c>
      <c r="AX22" s="60">
        <v>0</v>
      </c>
      <c r="AY22" s="60">
        <v>15</v>
      </c>
      <c r="AZ22" s="61">
        <v>15</v>
      </c>
      <c r="BA22" s="60">
        <v>48</v>
      </c>
      <c r="BB22" s="60">
        <v>2</v>
      </c>
      <c r="BC22" s="60" t="e">
        <f>VLOOKUP($B$9,#REF!,2,TRUE)</f>
        <v>#REF!</v>
      </c>
      <c r="BD22" s="60" t="s">
        <v>31</v>
      </c>
      <c r="BE22" s="60"/>
      <c r="BG22" s="48"/>
      <c r="BH22" s="48"/>
      <c r="BI22" s="48"/>
      <c r="BJ22" s="48">
        <v>8</v>
      </c>
      <c r="BK22" s="73">
        <v>8</v>
      </c>
      <c r="BL22" s="48"/>
    </row>
    <row r="23" spans="1:64" s="45" customFormat="1" ht="15.75">
      <c r="A23" s="95">
        <v>72</v>
      </c>
      <c r="B23" s="96" t="s">
        <v>434</v>
      </c>
      <c r="C23" s="97" t="s">
        <v>435</v>
      </c>
      <c r="D23" s="97" t="s">
        <v>436</v>
      </c>
      <c r="E23" s="97" t="s">
        <v>437</v>
      </c>
      <c r="F23" s="97" t="s">
        <v>163</v>
      </c>
      <c r="G23" s="96" t="s">
        <v>438</v>
      </c>
      <c r="H23" s="96" t="s">
        <v>123</v>
      </c>
      <c r="I23" s="96" t="s">
        <v>151</v>
      </c>
      <c r="J23" s="96" t="s">
        <v>439</v>
      </c>
      <c r="K23" s="98" t="s">
        <v>166</v>
      </c>
      <c r="L23" s="97">
        <v>385</v>
      </c>
      <c r="M23" s="96" t="s">
        <v>154</v>
      </c>
      <c r="N23" s="96"/>
      <c r="O23" s="97" t="s">
        <v>155</v>
      </c>
      <c r="P23" s="97" t="s">
        <v>28</v>
      </c>
      <c r="Q23" s="97" t="s">
        <v>31</v>
      </c>
      <c r="R23" s="97" t="s">
        <v>28</v>
      </c>
      <c r="S23" s="97" t="s">
        <v>167</v>
      </c>
      <c r="T23" s="97">
        <v>2</v>
      </c>
      <c r="U23" s="97">
        <v>6</v>
      </c>
      <c r="V23" s="97">
        <v>0</v>
      </c>
      <c r="W23" s="97">
        <v>2</v>
      </c>
      <c r="X23" s="97" t="s">
        <v>168</v>
      </c>
      <c r="Y23" s="97" t="s">
        <v>168</v>
      </c>
      <c r="Z23" s="97" t="e">
        <v>#N/A</v>
      </c>
      <c r="AA23" s="97" t="e">
        <v>#N/A</v>
      </c>
      <c r="AB23" s="97"/>
      <c r="AC23" s="97" t="s">
        <v>157</v>
      </c>
      <c r="AD23" s="97" t="s">
        <v>132</v>
      </c>
      <c r="AE23" s="97" t="s">
        <v>169</v>
      </c>
      <c r="AF23" s="97" t="s">
        <v>134</v>
      </c>
      <c r="AG23" s="97" t="s">
        <v>31</v>
      </c>
      <c r="AH23" s="97">
        <v>574</v>
      </c>
      <c r="AI23" s="97">
        <v>500</v>
      </c>
      <c r="AJ23" s="97" t="s">
        <v>369</v>
      </c>
      <c r="AK23" s="97">
        <v>12</v>
      </c>
      <c r="AL23" s="97">
        <v>0</v>
      </c>
      <c r="AM23" s="97">
        <v>60</v>
      </c>
      <c r="AN23" s="97">
        <v>10</v>
      </c>
      <c r="AO23" s="97">
        <v>8</v>
      </c>
      <c r="AP23" s="99">
        <v>0</v>
      </c>
      <c r="AQ23" s="97">
        <v>12</v>
      </c>
      <c r="AR23" s="61">
        <v>19</v>
      </c>
      <c r="AS23" s="60">
        <v>8</v>
      </c>
      <c r="AT23" s="60">
        <v>40</v>
      </c>
      <c r="AU23" s="60">
        <v>4</v>
      </c>
      <c r="AV23" s="60">
        <v>4</v>
      </c>
      <c r="AW23" s="60">
        <v>4</v>
      </c>
      <c r="AX23" s="64">
        <v>0</v>
      </c>
      <c r="AY23" s="60">
        <v>15</v>
      </c>
      <c r="AZ23" s="61">
        <v>15</v>
      </c>
      <c r="BA23" s="60">
        <v>48</v>
      </c>
      <c r="BB23" s="60">
        <v>2</v>
      </c>
      <c r="BC23" s="60" t="e">
        <f>VLOOKUP($B$9,#REF!,2,TRUE)</f>
        <v>#REF!</v>
      </c>
      <c r="BD23" s="60" t="s">
        <v>31</v>
      </c>
      <c r="BE23" s="60"/>
      <c r="BG23" s="48"/>
      <c r="BH23" s="48"/>
      <c r="BI23" s="48"/>
      <c r="BJ23" s="48">
        <v>8</v>
      </c>
      <c r="BK23" s="73">
        <v>8</v>
      </c>
      <c r="BL23" s="48"/>
    </row>
    <row r="24" spans="1:64" s="45" customFormat="1" ht="15.75">
      <c r="A24" s="95">
        <v>14</v>
      </c>
      <c r="B24" s="96" t="s">
        <v>568</v>
      </c>
      <c r="C24" s="97" t="s">
        <v>569</v>
      </c>
      <c r="D24" s="97" t="s">
        <v>570</v>
      </c>
      <c r="E24" s="97" t="s">
        <v>571</v>
      </c>
      <c r="F24" s="97" t="s">
        <v>296</v>
      </c>
      <c r="G24" s="96" t="s">
        <v>572</v>
      </c>
      <c r="H24" s="96" t="s">
        <v>123</v>
      </c>
      <c r="I24" s="96" t="s">
        <v>124</v>
      </c>
      <c r="J24" s="96" t="s">
        <v>573</v>
      </c>
      <c r="K24" s="98" t="s">
        <v>574</v>
      </c>
      <c r="L24" s="97">
        <v>369</v>
      </c>
      <c r="M24" s="96" t="s">
        <v>154</v>
      </c>
      <c r="N24" s="96"/>
      <c r="O24" s="97" t="s">
        <v>155</v>
      </c>
      <c r="P24" s="97" t="s">
        <v>575</v>
      </c>
      <c r="Q24" s="97" t="s">
        <v>28</v>
      </c>
      <c r="R24" s="97" t="s">
        <v>31</v>
      </c>
      <c r="S24" s="97" t="s">
        <v>167</v>
      </c>
      <c r="T24" s="97">
        <v>2</v>
      </c>
      <c r="U24" s="97">
        <v>6</v>
      </c>
      <c r="V24" s="97">
        <v>0</v>
      </c>
      <c r="W24" s="97">
        <v>2</v>
      </c>
      <c r="X24" s="97" t="s">
        <v>168</v>
      </c>
      <c r="Y24" s="97" t="s">
        <v>168</v>
      </c>
      <c r="Z24" s="97" t="e">
        <v>#N/A</v>
      </c>
      <c r="AA24" s="97" t="e">
        <v>#N/A</v>
      </c>
      <c r="AB24" s="97"/>
      <c r="AC24" s="97" t="s">
        <v>157</v>
      </c>
      <c r="AD24" s="97" t="s">
        <v>132</v>
      </c>
      <c r="AE24" s="97" t="s">
        <v>133</v>
      </c>
      <c r="AF24" s="97" t="s">
        <v>134</v>
      </c>
      <c r="AG24" s="97" t="s">
        <v>31</v>
      </c>
      <c r="AH24" s="97">
        <v>574</v>
      </c>
      <c r="AI24" s="97">
        <v>500</v>
      </c>
      <c r="AJ24" s="97" t="s">
        <v>369</v>
      </c>
      <c r="AK24" s="97">
        <v>12</v>
      </c>
      <c r="AL24" s="97">
        <v>0</v>
      </c>
      <c r="AM24" s="97">
        <v>60</v>
      </c>
      <c r="AN24" s="97">
        <v>10</v>
      </c>
      <c r="AO24" s="97">
        <v>8</v>
      </c>
      <c r="AP24" s="97">
        <v>0</v>
      </c>
      <c r="AQ24" s="97">
        <v>12</v>
      </c>
      <c r="AR24" s="61">
        <v>19</v>
      </c>
      <c r="AS24" s="60">
        <v>8</v>
      </c>
      <c r="AT24" s="60">
        <v>40</v>
      </c>
      <c r="AU24" s="60">
        <v>4</v>
      </c>
      <c r="AV24" s="60">
        <v>4</v>
      </c>
      <c r="AW24" s="60">
        <v>4</v>
      </c>
      <c r="AX24" s="60">
        <v>0</v>
      </c>
      <c r="AY24" s="60">
        <v>15</v>
      </c>
      <c r="AZ24" s="61">
        <v>15</v>
      </c>
      <c r="BA24" s="60">
        <v>48</v>
      </c>
      <c r="BB24" s="60">
        <v>2</v>
      </c>
      <c r="BC24" s="60" t="e">
        <f>VLOOKUP($B$9,#REF!,2,TRUE)</f>
        <v>#REF!</v>
      </c>
      <c r="BD24" s="60" t="s">
        <v>31</v>
      </c>
      <c r="BE24" s="60"/>
      <c r="BG24" s="48"/>
      <c r="BH24" s="48"/>
      <c r="BI24" s="48"/>
      <c r="BJ24" s="48">
        <v>8</v>
      </c>
      <c r="BK24" s="73">
        <v>8</v>
      </c>
      <c r="BL24" s="48"/>
    </row>
    <row r="25" spans="1:64" s="45" customFormat="1" ht="15.75">
      <c r="A25" s="95">
        <v>36</v>
      </c>
      <c r="B25" s="96" t="s">
        <v>821</v>
      </c>
      <c r="C25" s="97" t="s">
        <v>822</v>
      </c>
      <c r="D25" s="97" t="s">
        <v>823</v>
      </c>
      <c r="E25" s="97" t="s">
        <v>824</v>
      </c>
      <c r="F25" s="97" t="s">
        <v>676</v>
      </c>
      <c r="G25" s="96" t="s">
        <v>825</v>
      </c>
      <c r="H25" s="96" t="s">
        <v>123</v>
      </c>
      <c r="I25" s="96" t="s">
        <v>124</v>
      </c>
      <c r="J25" s="96" t="s">
        <v>826</v>
      </c>
      <c r="K25" s="98" t="s">
        <v>679</v>
      </c>
      <c r="L25" s="97">
        <v>405</v>
      </c>
      <c r="M25" s="96" t="s">
        <v>154</v>
      </c>
      <c r="N25" s="96"/>
      <c r="O25" s="97" t="s">
        <v>155</v>
      </c>
      <c r="P25" s="97" t="s">
        <v>28</v>
      </c>
      <c r="Q25" s="97" t="s">
        <v>31</v>
      </c>
      <c r="R25" s="97" t="s">
        <v>28</v>
      </c>
      <c r="S25" s="97" t="s">
        <v>167</v>
      </c>
      <c r="T25" s="97">
        <v>2</v>
      </c>
      <c r="U25" s="97">
        <v>6</v>
      </c>
      <c r="V25" s="97">
        <v>0</v>
      </c>
      <c r="W25" s="97">
        <v>2</v>
      </c>
      <c r="X25" s="97" t="s">
        <v>168</v>
      </c>
      <c r="Y25" s="97" t="s">
        <v>168</v>
      </c>
      <c r="Z25" s="97" t="e">
        <v>#N/A</v>
      </c>
      <c r="AA25" s="97" t="e">
        <v>#N/A</v>
      </c>
      <c r="AB25" s="97"/>
      <c r="AC25" s="97" t="s">
        <v>157</v>
      </c>
      <c r="AD25" s="97" t="s">
        <v>132</v>
      </c>
      <c r="AE25" s="97" t="s">
        <v>133</v>
      </c>
      <c r="AF25" s="97" t="s">
        <v>329</v>
      </c>
      <c r="AG25" s="97" t="s">
        <v>31</v>
      </c>
      <c r="AH25" s="97">
        <v>574</v>
      </c>
      <c r="AI25" s="97"/>
      <c r="AJ25" s="97" t="s">
        <v>135</v>
      </c>
      <c r="AK25" s="97">
        <v>12</v>
      </c>
      <c r="AL25" s="97">
        <v>0</v>
      </c>
      <c r="AM25" s="97">
        <v>60</v>
      </c>
      <c r="AN25" s="97">
        <v>10</v>
      </c>
      <c r="AO25" s="97">
        <v>8</v>
      </c>
      <c r="AP25" s="99">
        <v>0</v>
      </c>
      <c r="AQ25" s="97">
        <v>12</v>
      </c>
      <c r="AR25" s="61">
        <v>19</v>
      </c>
      <c r="AS25" s="60">
        <v>8</v>
      </c>
      <c r="AT25" s="60">
        <v>40</v>
      </c>
      <c r="AU25" s="60">
        <v>4</v>
      </c>
      <c r="AV25" s="60">
        <v>4</v>
      </c>
      <c r="AW25" s="60">
        <v>4</v>
      </c>
      <c r="AX25" s="64">
        <v>0</v>
      </c>
      <c r="AY25" s="60">
        <v>15</v>
      </c>
      <c r="AZ25" s="61">
        <v>15</v>
      </c>
      <c r="BA25" s="60">
        <v>48</v>
      </c>
      <c r="BB25" s="60">
        <v>2</v>
      </c>
      <c r="BC25" s="60" t="e">
        <f>VLOOKUP($B$9,#REF!,2,TRUE)</f>
        <v>#REF!</v>
      </c>
      <c r="BD25" s="60" t="s">
        <v>31</v>
      </c>
      <c r="BE25" s="60"/>
      <c r="BG25" s="48"/>
      <c r="BH25" s="48"/>
      <c r="BI25" s="48"/>
      <c r="BJ25" s="48">
        <v>8</v>
      </c>
      <c r="BK25" s="73">
        <v>8</v>
      </c>
      <c r="BL25" s="48"/>
    </row>
    <row r="26" spans="1:64" s="45" customFormat="1" ht="15.75">
      <c r="A26" s="95">
        <v>22</v>
      </c>
      <c r="B26" s="96" t="s">
        <v>1026</v>
      </c>
      <c r="C26" s="97" t="s">
        <v>1027</v>
      </c>
      <c r="D26" s="97" t="s">
        <v>1028</v>
      </c>
      <c r="E26" s="97" t="s">
        <v>1029</v>
      </c>
      <c r="F26" s="97" t="s">
        <v>1030</v>
      </c>
      <c r="G26" s="96" t="s">
        <v>1031</v>
      </c>
      <c r="H26" s="96" t="s">
        <v>123</v>
      </c>
      <c r="I26" s="96" t="s">
        <v>151</v>
      </c>
      <c r="J26" s="96" t="s">
        <v>1032</v>
      </c>
      <c r="K26" s="98" t="s">
        <v>500</v>
      </c>
      <c r="L26" s="97">
        <v>360</v>
      </c>
      <c r="M26" s="96" t="s">
        <v>154</v>
      </c>
      <c r="N26" s="96"/>
      <c r="O26" s="97" t="s">
        <v>284</v>
      </c>
      <c r="P26" s="97" t="s">
        <v>31</v>
      </c>
      <c r="Q26" s="97" t="s">
        <v>31</v>
      </c>
      <c r="R26" s="97" t="s">
        <v>31</v>
      </c>
      <c r="S26" s="97" t="s">
        <v>167</v>
      </c>
      <c r="T26" s="97">
        <v>2</v>
      </c>
      <c r="U26" s="97">
        <v>6</v>
      </c>
      <c r="V26" s="97">
        <v>0</v>
      </c>
      <c r="W26" s="97">
        <v>2</v>
      </c>
      <c r="X26" s="97" t="s">
        <v>168</v>
      </c>
      <c r="Y26" s="97" t="s">
        <v>168</v>
      </c>
      <c r="Z26" s="97" t="e">
        <v>#N/A</v>
      </c>
      <c r="AA26" s="97" t="e">
        <v>#N/A</v>
      </c>
      <c r="AB26" s="97"/>
      <c r="AC26" s="97" t="s">
        <v>157</v>
      </c>
      <c r="AD26" s="97" t="s">
        <v>132</v>
      </c>
      <c r="AE26" s="97" t="s">
        <v>133</v>
      </c>
      <c r="AF26" s="97" t="s">
        <v>329</v>
      </c>
      <c r="AG26" s="97" t="s">
        <v>31</v>
      </c>
      <c r="AH26" s="97">
        <v>574</v>
      </c>
      <c r="AI26" s="97"/>
      <c r="AJ26" s="97" t="s">
        <v>135</v>
      </c>
      <c r="AK26" s="97">
        <v>12</v>
      </c>
      <c r="AL26" s="97">
        <v>0</v>
      </c>
      <c r="AM26" s="97">
        <v>60</v>
      </c>
      <c r="AN26" s="97">
        <v>10</v>
      </c>
      <c r="AO26" s="97">
        <v>8</v>
      </c>
      <c r="AP26" s="97">
        <v>0</v>
      </c>
      <c r="AQ26" s="97">
        <v>12</v>
      </c>
      <c r="AR26" s="61">
        <v>19</v>
      </c>
      <c r="AS26" s="60">
        <v>8</v>
      </c>
      <c r="AT26" s="60">
        <v>40</v>
      </c>
      <c r="AU26" s="60">
        <v>4</v>
      </c>
      <c r="AV26" s="60">
        <v>4</v>
      </c>
      <c r="AW26" s="60">
        <v>4</v>
      </c>
      <c r="AX26" s="62">
        <v>0</v>
      </c>
      <c r="AY26" s="62">
        <v>15</v>
      </c>
      <c r="AZ26" s="61">
        <v>15</v>
      </c>
      <c r="BA26" s="60">
        <v>48</v>
      </c>
      <c r="BB26" s="60">
        <v>2</v>
      </c>
      <c r="BC26" s="60" t="e">
        <f>VLOOKUP($B$9,#REF!,2,TRUE)</f>
        <v>#REF!</v>
      </c>
      <c r="BD26" s="60" t="s">
        <v>31</v>
      </c>
      <c r="BE26" s="60"/>
      <c r="BG26" s="48"/>
      <c r="BH26" s="48"/>
      <c r="BI26" s="48"/>
      <c r="BJ26" s="48">
        <v>8</v>
      </c>
      <c r="BK26" s="73">
        <v>8</v>
      </c>
      <c r="BL26" s="48"/>
    </row>
    <row r="27" spans="1:64" s="45" customFormat="1" ht="15.75">
      <c r="A27" s="95">
        <v>71</v>
      </c>
      <c r="B27" s="96" t="s">
        <v>1207</v>
      </c>
      <c r="C27" s="97" t="s">
        <v>1208</v>
      </c>
      <c r="D27" s="97" t="s">
        <v>1209</v>
      </c>
      <c r="E27" s="97" t="s">
        <v>1210</v>
      </c>
      <c r="F27" s="97" t="s">
        <v>1030</v>
      </c>
      <c r="G27" s="96" t="s">
        <v>1211</v>
      </c>
      <c r="H27" s="96" t="s">
        <v>123</v>
      </c>
      <c r="I27" s="96" t="s">
        <v>151</v>
      </c>
      <c r="J27" s="96" t="s">
        <v>1212</v>
      </c>
      <c r="K27" s="98" t="s">
        <v>500</v>
      </c>
      <c r="L27" s="97">
        <v>487</v>
      </c>
      <c r="M27" s="96" t="s">
        <v>154</v>
      </c>
      <c r="N27" s="96"/>
      <c r="O27" s="97" t="s">
        <v>128</v>
      </c>
      <c r="P27" s="97" t="s">
        <v>31</v>
      </c>
      <c r="Q27" s="97" t="s">
        <v>31</v>
      </c>
      <c r="R27" s="97" t="s">
        <v>31</v>
      </c>
      <c r="S27" s="97" t="s">
        <v>167</v>
      </c>
      <c r="T27" s="97">
        <v>2</v>
      </c>
      <c r="U27" s="97">
        <v>6</v>
      </c>
      <c r="V27" s="97">
        <v>0</v>
      </c>
      <c r="W27" s="97">
        <v>2</v>
      </c>
      <c r="X27" s="97" t="s">
        <v>168</v>
      </c>
      <c r="Y27" s="97" t="s">
        <v>168</v>
      </c>
      <c r="Z27" s="97" t="e">
        <v>#N/A</v>
      </c>
      <c r="AA27" s="97" t="e">
        <v>#N/A</v>
      </c>
      <c r="AB27" s="97"/>
      <c r="AC27" s="97" t="s">
        <v>157</v>
      </c>
      <c r="AD27" s="97" t="s">
        <v>132</v>
      </c>
      <c r="AE27" s="97" t="s">
        <v>133</v>
      </c>
      <c r="AF27" s="97" t="s">
        <v>329</v>
      </c>
      <c r="AG27" s="97" t="s">
        <v>31</v>
      </c>
      <c r="AH27" s="97">
        <v>574</v>
      </c>
      <c r="AI27" s="97"/>
      <c r="AJ27" s="97" t="s">
        <v>135</v>
      </c>
      <c r="AK27" s="97">
        <v>12</v>
      </c>
      <c r="AL27" s="97">
        <v>0</v>
      </c>
      <c r="AM27" s="97">
        <v>60</v>
      </c>
      <c r="AN27" s="97">
        <v>10</v>
      </c>
      <c r="AO27" s="97">
        <v>8</v>
      </c>
      <c r="AP27" s="99">
        <v>0</v>
      </c>
      <c r="AQ27" s="97">
        <v>12</v>
      </c>
      <c r="AR27" s="61">
        <v>19</v>
      </c>
      <c r="AS27" s="60">
        <v>8</v>
      </c>
      <c r="AT27" s="60">
        <v>40</v>
      </c>
      <c r="AU27" s="60">
        <v>4</v>
      </c>
      <c r="AV27" s="60">
        <v>4</v>
      </c>
      <c r="AW27" s="60">
        <v>4</v>
      </c>
      <c r="AX27" s="64">
        <v>0</v>
      </c>
      <c r="AY27" s="60">
        <v>15</v>
      </c>
      <c r="AZ27" s="61">
        <v>15</v>
      </c>
      <c r="BA27" s="60">
        <v>48</v>
      </c>
      <c r="BB27" s="60">
        <v>2</v>
      </c>
      <c r="BC27" s="60" t="e">
        <f>VLOOKUP($B$9,#REF!,2,TRUE)</f>
        <v>#REF!</v>
      </c>
      <c r="BD27" s="60" t="s">
        <v>31</v>
      </c>
      <c r="BE27" s="60"/>
      <c r="BG27" s="48"/>
      <c r="BH27" s="48"/>
      <c r="BI27" s="48"/>
      <c r="BJ27" s="48">
        <v>8</v>
      </c>
      <c r="BK27" s="73">
        <v>8</v>
      </c>
      <c r="BL27" s="48"/>
    </row>
    <row r="28" spans="1:64" s="45" customFormat="1" ht="16.149999999999999" customHeight="1">
      <c r="A28" s="95">
        <v>484</v>
      </c>
      <c r="B28" s="96" t="s">
        <v>1237</v>
      </c>
      <c r="C28" s="97" t="s">
        <v>1238</v>
      </c>
      <c r="D28" s="97" t="s">
        <v>1239</v>
      </c>
      <c r="E28" s="97" t="s">
        <v>1240</v>
      </c>
      <c r="F28" s="97" t="s">
        <v>1241</v>
      </c>
      <c r="G28" s="96" t="s">
        <v>1242</v>
      </c>
      <c r="H28" s="96" t="s">
        <v>123</v>
      </c>
      <c r="I28" s="96" t="s">
        <v>401</v>
      </c>
      <c r="J28" s="96" t="s">
        <v>1243</v>
      </c>
      <c r="K28" s="98" t="s">
        <v>1176</v>
      </c>
      <c r="L28" s="97">
        <v>399</v>
      </c>
      <c r="M28" s="96" t="s">
        <v>154</v>
      </c>
      <c r="N28" s="96"/>
      <c r="O28" s="97" t="s">
        <v>155</v>
      </c>
      <c r="P28" s="97" t="s">
        <v>31</v>
      </c>
      <c r="Q28" s="97" t="s">
        <v>31</v>
      </c>
      <c r="R28" s="97" t="s">
        <v>28</v>
      </c>
      <c r="S28" s="97" t="s">
        <v>177</v>
      </c>
      <c r="T28" s="97">
        <v>1</v>
      </c>
      <c r="U28" s="97">
        <v>7</v>
      </c>
      <c r="V28" s="97">
        <v>0</v>
      </c>
      <c r="W28" s="97">
        <v>0</v>
      </c>
      <c r="X28" s="97" t="e">
        <v>#N/A</v>
      </c>
      <c r="Y28" s="97" t="e">
        <v>#N/A</v>
      </c>
      <c r="Z28" s="97" t="e">
        <v>#N/A</v>
      </c>
      <c r="AA28" s="97" t="e">
        <v>#N/A</v>
      </c>
      <c r="AB28" s="97"/>
      <c r="AC28" s="97" t="s">
        <v>157</v>
      </c>
      <c r="AD28" s="97" t="s">
        <v>132</v>
      </c>
      <c r="AE28" s="97" t="s">
        <v>133</v>
      </c>
      <c r="AF28" s="97" t="s">
        <v>329</v>
      </c>
      <c r="AG28" s="97" t="s">
        <v>31</v>
      </c>
      <c r="AH28" s="97">
        <v>701</v>
      </c>
      <c r="AI28" s="97">
        <v>700</v>
      </c>
      <c r="AJ28" s="97">
        <v>900</v>
      </c>
      <c r="AK28" s="97">
        <v>14</v>
      </c>
      <c r="AL28" s="97">
        <v>0</v>
      </c>
      <c r="AM28" s="97">
        <v>70</v>
      </c>
      <c r="AN28" s="97">
        <v>5</v>
      </c>
      <c r="AO28" s="97">
        <v>4</v>
      </c>
      <c r="AP28" s="97">
        <v>0</v>
      </c>
      <c r="AQ28" s="97">
        <v>12</v>
      </c>
      <c r="AR28" s="63">
        <v>20</v>
      </c>
      <c r="AS28" s="62">
        <v>8</v>
      </c>
      <c r="AT28" s="62">
        <v>40</v>
      </c>
      <c r="AU28" s="62">
        <v>4</v>
      </c>
      <c r="AV28" s="62">
        <v>4</v>
      </c>
      <c r="AW28" s="62">
        <v>4</v>
      </c>
      <c r="AX28" s="62">
        <v>0</v>
      </c>
      <c r="AY28" s="62">
        <v>15</v>
      </c>
      <c r="AZ28" s="63">
        <v>15</v>
      </c>
      <c r="BA28" s="62">
        <v>48</v>
      </c>
      <c r="BB28" s="62">
        <v>2</v>
      </c>
      <c r="BC28" s="62" t="e">
        <f>VLOOKUP($B$9,#REF!,2,TRUE)</f>
        <v>#REF!</v>
      </c>
      <c r="BD28" s="62" t="s">
        <v>31</v>
      </c>
      <c r="BE28" s="62"/>
      <c r="BG28" s="48"/>
      <c r="BH28" s="48"/>
      <c r="BI28" s="48"/>
      <c r="BJ28" s="48">
        <v>8</v>
      </c>
      <c r="BK28" s="73">
        <v>8</v>
      </c>
      <c r="BL28" s="48"/>
    </row>
    <row r="29" spans="1:64" s="45" customFormat="1" ht="15.75">
      <c r="A29" s="95">
        <v>405</v>
      </c>
      <c r="B29" s="96" t="s">
        <v>1244</v>
      </c>
      <c r="C29" s="97" t="s">
        <v>1245</v>
      </c>
      <c r="D29" s="97" t="s">
        <v>1246</v>
      </c>
      <c r="E29" s="97" t="s">
        <v>1247</v>
      </c>
      <c r="F29" s="97" t="s">
        <v>607</v>
      </c>
      <c r="G29" s="96" t="s">
        <v>1248</v>
      </c>
      <c r="H29" s="96" t="s">
        <v>123</v>
      </c>
      <c r="I29" s="96" t="s">
        <v>124</v>
      </c>
      <c r="J29" s="96" t="s">
        <v>1249</v>
      </c>
      <c r="K29" s="98" t="s">
        <v>610</v>
      </c>
      <c r="L29" s="97">
        <v>470</v>
      </c>
      <c r="M29" s="96" t="s">
        <v>154</v>
      </c>
      <c r="N29" s="96"/>
      <c r="O29" s="97" t="s">
        <v>155</v>
      </c>
      <c r="P29" s="97" t="s">
        <v>31</v>
      </c>
      <c r="Q29" s="97" t="s">
        <v>28</v>
      </c>
      <c r="R29" s="97" t="s">
        <v>31</v>
      </c>
      <c r="S29" s="97" t="s">
        <v>204</v>
      </c>
      <c r="T29" s="97">
        <v>1</v>
      </c>
      <c r="U29" s="97">
        <v>7</v>
      </c>
      <c r="V29" s="97">
        <v>0</v>
      </c>
      <c r="W29" s="97">
        <v>1</v>
      </c>
      <c r="X29" s="97" t="s">
        <v>168</v>
      </c>
      <c r="Y29" s="97" t="e">
        <v>#N/A</v>
      </c>
      <c r="Z29" s="97" t="e">
        <v>#N/A</v>
      </c>
      <c r="AA29" s="97" t="e">
        <v>#N/A</v>
      </c>
      <c r="AB29" s="97"/>
      <c r="AC29" s="97" t="s">
        <v>157</v>
      </c>
      <c r="AD29" s="97" t="s">
        <v>158</v>
      </c>
      <c r="AE29" s="97" t="s">
        <v>133</v>
      </c>
      <c r="AF29" s="97" t="s">
        <v>134</v>
      </c>
      <c r="AG29" s="97" t="s">
        <v>31</v>
      </c>
      <c r="AH29" s="97">
        <v>645</v>
      </c>
      <c r="AI29" s="97"/>
      <c r="AJ29" s="97" t="s">
        <v>135</v>
      </c>
      <c r="AK29" s="97">
        <v>14</v>
      </c>
      <c r="AL29" s="97">
        <v>0</v>
      </c>
      <c r="AM29" s="97">
        <v>70</v>
      </c>
      <c r="AN29" s="97">
        <v>5</v>
      </c>
      <c r="AO29" s="97">
        <v>4</v>
      </c>
      <c r="AP29" s="99">
        <v>0</v>
      </c>
      <c r="AQ29" s="97">
        <v>12</v>
      </c>
      <c r="AR29" s="61">
        <v>20</v>
      </c>
      <c r="AS29" s="60">
        <v>8</v>
      </c>
      <c r="AT29" s="60">
        <v>40</v>
      </c>
      <c r="AU29" s="60">
        <v>4</v>
      </c>
      <c r="AV29" s="60">
        <v>4</v>
      </c>
      <c r="AW29" s="60">
        <v>4</v>
      </c>
      <c r="AX29" s="64">
        <v>0</v>
      </c>
      <c r="AY29" s="60">
        <v>15</v>
      </c>
      <c r="AZ29" s="61">
        <v>15</v>
      </c>
      <c r="BA29" s="60">
        <v>48</v>
      </c>
      <c r="BB29" s="60">
        <v>2</v>
      </c>
      <c r="BC29" s="60" t="e">
        <f>VLOOKUP($B$9,#REF!,2,TRUE)</f>
        <v>#REF!</v>
      </c>
      <c r="BD29" s="60" t="s">
        <v>31</v>
      </c>
      <c r="BE29" s="60"/>
      <c r="BG29" s="48"/>
      <c r="BH29" s="48"/>
      <c r="BI29" s="48"/>
      <c r="BJ29" s="48">
        <v>8</v>
      </c>
      <c r="BK29" s="73">
        <v>8</v>
      </c>
      <c r="BL29" s="48"/>
    </row>
    <row r="30" spans="1:64" s="45" customFormat="1" ht="15.75">
      <c r="A30" s="95">
        <v>45</v>
      </c>
      <c r="B30" s="96" t="s">
        <v>207</v>
      </c>
      <c r="C30" s="97" t="s">
        <v>208</v>
      </c>
      <c r="D30" s="97" t="s">
        <v>209</v>
      </c>
      <c r="E30" s="97" t="s">
        <v>210</v>
      </c>
      <c r="F30" s="97" t="s">
        <v>163</v>
      </c>
      <c r="G30" s="96" t="s">
        <v>211</v>
      </c>
      <c r="H30" s="96" t="s">
        <v>123</v>
      </c>
      <c r="I30" s="96" t="s">
        <v>151</v>
      </c>
      <c r="J30" s="96" t="s">
        <v>212</v>
      </c>
      <c r="K30" s="98" t="s">
        <v>166</v>
      </c>
      <c r="L30" s="97">
        <v>417</v>
      </c>
      <c r="M30" s="96" t="s">
        <v>154</v>
      </c>
      <c r="N30" s="96"/>
      <c r="O30" s="97" t="s">
        <v>128</v>
      </c>
      <c r="P30" s="97" t="s">
        <v>31</v>
      </c>
      <c r="Q30" s="97" t="s">
        <v>31</v>
      </c>
      <c r="R30" s="97" t="s">
        <v>31</v>
      </c>
      <c r="S30" s="97" t="s">
        <v>177</v>
      </c>
      <c r="T30" s="97">
        <v>3</v>
      </c>
      <c r="U30" s="97">
        <v>6</v>
      </c>
      <c r="V30" s="97">
        <v>0</v>
      </c>
      <c r="W30" s="97">
        <v>2</v>
      </c>
      <c r="X30" s="97" t="s">
        <v>168</v>
      </c>
      <c r="Y30" s="97" t="s">
        <v>168</v>
      </c>
      <c r="Z30" s="97" t="e">
        <v>#N/A</v>
      </c>
      <c r="AA30" s="97" t="e">
        <v>#N/A</v>
      </c>
      <c r="AB30" s="97"/>
      <c r="AC30" s="97" t="s">
        <v>157</v>
      </c>
      <c r="AD30" s="97" t="s">
        <v>132</v>
      </c>
      <c r="AE30" s="97" t="s">
        <v>169</v>
      </c>
      <c r="AF30" s="97" t="s">
        <v>134</v>
      </c>
      <c r="AG30" s="97" t="s">
        <v>31</v>
      </c>
      <c r="AH30" s="97">
        <v>621</v>
      </c>
      <c r="AI30" s="97">
        <v>700</v>
      </c>
      <c r="AJ30" s="97">
        <v>900</v>
      </c>
      <c r="AK30" s="97">
        <v>12</v>
      </c>
      <c r="AL30" s="97">
        <v>0</v>
      </c>
      <c r="AM30" s="97">
        <v>60</v>
      </c>
      <c r="AN30" s="97">
        <v>15</v>
      </c>
      <c r="AO30" s="97">
        <v>12</v>
      </c>
      <c r="AP30" s="97">
        <v>0</v>
      </c>
      <c r="AQ30" s="97">
        <v>14</v>
      </c>
      <c r="AR30" s="61">
        <v>20</v>
      </c>
      <c r="AS30" s="60">
        <v>9</v>
      </c>
      <c r="AT30" s="60">
        <v>40</v>
      </c>
      <c r="AU30" s="60">
        <v>4</v>
      </c>
      <c r="AV30" s="60">
        <v>4</v>
      </c>
      <c r="AW30" s="60">
        <v>4</v>
      </c>
      <c r="AX30" s="60">
        <v>0</v>
      </c>
      <c r="AY30" s="60">
        <v>17</v>
      </c>
      <c r="AZ30" s="61">
        <v>15</v>
      </c>
      <c r="BA30" s="60">
        <v>48</v>
      </c>
      <c r="BB30" s="60">
        <v>2</v>
      </c>
      <c r="BC30" s="60" t="e">
        <f>VLOOKUP($B$9,#REF!,2,TRUE)</f>
        <v>#REF!</v>
      </c>
      <c r="BD30" s="60" t="s">
        <v>31</v>
      </c>
      <c r="BE30" s="60"/>
      <c r="BG30" s="48"/>
      <c r="BH30" s="48"/>
      <c r="BI30" s="48"/>
      <c r="BJ30" s="48">
        <v>8</v>
      </c>
      <c r="BK30" s="73">
        <v>8</v>
      </c>
      <c r="BL30" s="48"/>
    </row>
    <row r="31" spans="1:64" s="45" customFormat="1" ht="15.75">
      <c r="A31" s="95">
        <v>69</v>
      </c>
      <c r="B31" s="96" t="s">
        <v>666</v>
      </c>
      <c r="C31" s="97" t="s">
        <v>667</v>
      </c>
      <c r="D31" s="97" t="s">
        <v>668</v>
      </c>
      <c r="E31" s="97" t="s">
        <v>669</v>
      </c>
      <c r="F31" s="97" t="s">
        <v>163</v>
      </c>
      <c r="G31" s="96" t="s">
        <v>670</v>
      </c>
      <c r="H31" s="96" t="s">
        <v>123</v>
      </c>
      <c r="I31" s="96" t="s">
        <v>151</v>
      </c>
      <c r="J31" s="96" t="s">
        <v>671</v>
      </c>
      <c r="K31" s="98" t="s">
        <v>191</v>
      </c>
      <c r="L31" s="97">
        <v>428</v>
      </c>
      <c r="M31" s="96" t="s">
        <v>154</v>
      </c>
      <c r="N31" s="96"/>
      <c r="O31" s="97" t="s">
        <v>284</v>
      </c>
      <c r="P31" s="97" t="s">
        <v>31</v>
      </c>
      <c r="Q31" s="97" t="s">
        <v>28</v>
      </c>
      <c r="R31" s="97" t="s">
        <v>31</v>
      </c>
      <c r="S31" s="97" t="s">
        <v>177</v>
      </c>
      <c r="T31" s="97">
        <v>3</v>
      </c>
      <c r="U31" s="97">
        <v>6</v>
      </c>
      <c r="V31" s="97">
        <v>0</v>
      </c>
      <c r="W31" s="97">
        <v>2</v>
      </c>
      <c r="X31" s="97" t="s">
        <v>168</v>
      </c>
      <c r="Y31" s="97" t="s">
        <v>168</v>
      </c>
      <c r="Z31" s="97" t="e">
        <v>#N/A</v>
      </c>
      <c r="AA31" s="97" t="e">
        <v>#N/A</v>
      </c>
      <c r="AB31" s="97"/>
      <c r="AC31" s="97" t="s">
        <v>157</v>
      </c>
      <c r="AD31" s="97" t="s">
        <v>132</v>
      </c>
      <c r="AE31" s="97" t="s">
        <v>133</v>
      </c>
      <c r="AF31" s="97" t="s">
        <v>134</v>
      </c>
      <c r="AG31" s="97" t="s">
        <v>31</v>
      </c>
      <c r="AH31" s="97">
        <v>621</v>
      </c>
      <c r="AI31" s="97"/>
      <c r="AJ31" s="97" t="s">
        <v>135</v>
      </c>
      <c r="AK31" s="97">
        <v>12</v>
      </c>
      <c r="AL31" s="97">
        <v>0</v>
      </c>
      <c r="AM31" s="97">
        <v>60</v>
      </c>
      <c r="AN31" s="97">
        <v>15</v>
      </c>
      <c r="AO31" s="97">
        <v>12</v>
      </c>
      <c r="AP31" s="99">
        <v>0</v>
      </c>
      <c r="AQ31" s="97">
        <v>14</v>
      </c>
      <c r="AR31" s="61">
        <v>20</v>
      </c>
      <c r="AS31" s="60">
        <v>9</v>
      </c>
      <c r="AT31" s="60">
        <v>40</v>
      </c>
      <c r="AU31" s="60">
        <v>4</v>
      </c>
      <c r="AV31" s="60">
        <v>4</v>
      </c>
      <c r="AW31" s="60">
        <v>4</v>
      </c>
      <c r="AX31" s="64">
        <v>0</v>
      </c>
      <c r="AY31" s="60">
        <v>15</v>
      </c>
      <c r="AZ31" s="61">
        <v>15</v>
      </c>
      <c r="BA31" s="60">
        <v>48</v>
      </c>
      <c r="BB31" s="60">
        <v>2</v>
      </c>
      <c r="BC31" s="60" t="e">
        <f>VLOOKUP($B$9,#REF!,2,TRUE)</f>
        <v>#REF!</v>
      </c>
      <c r="BD31" s="60" t="s">
        <v>31</v>
      </c>
      <c r="BE31" s="60"/>
      <c r="BG31" s="48"/>
      <c r="BH31" s="48"/>
      <c r="BI31" s="48"/>
      <c r="BJ31" s="48">
        <v>8</v>
      </c>
      <c r="BK31" s="73">
        <v>8</v>
      </c>
      <c r="BL31" s="48"/>
    </row>
    <row r="32" spans="1:64" s="45" customFormat="1" ht="15.75">
      <c r="A32" s="95">
        <v>3</v>
      </c>
      <c r="B32" s="96" t="s">
        <v>747</v>
      </c>
      <c r="C32" s="97" t="s">
        <v>748</v>
      </c>
      <c r="D32" s="97" t="s">
        <v>749</v>
      </c>
      <c r="E32" s="97" t="s">
        <v>750</v>
      </c>
      <c r="F32" s="97" t="s">
        <v>580</v>
      </c>
      <c r="G32" s="96" t="s">
        <v>751</v>
      </c>
      <c r="H32" s="96" t="s">
        <v>123</v>
      </c>
      <c r="I32" s="96" t="s">
        <v>124</v>
      </c>
      <c r="J32" s="96" t="s">
        <v>752</v>
      </c>
      <c r="K32" s="98" t="s">
        <v>734</v>
      </c>
      <c r="L32" s="97">
        <v>414</v>
      </c>
      <c r="M32" s="96" t="s">
        <v>154</v>
      </c>
      <c r="N32" s="96"/>
      <c r="O32" s="97" t="s">
        <v>284</v>
      </c>
      <c r="P32" s="97" t="s">
        <v>31</v>
      </c>
      <c r="Q32" s="97" t="s">
        <v>31</v>
      </c>
      <c r="R32" s="97" t="s">
        <v>31</v>
      </c>
      <c r="S32" s="97" t="s">
        <v>177</v>
      </c>
      <c r="T32" s="97">
        <v>3</v>
      </c>
      <c r="U32" s="97">
        <v>6</v>
      </c>
      <c r="V32" s="97">
        <v>0</v>
      </c>
      <c r="W32" s="97">
        <v>2</v>
      </c>
      <c r="X32" s="97" t="s">
        <v>168</v>
      </c>
      <c r="Y32" s="97" t="s">
        <v>168</v>
      </c>
      <c r="Z32" s="97" t="e">
        <v>#N/A</v>
      </c>
      <c r="AA32" s="97" t="e">
        <v>#N/A</v>
      </c>
      <c r="AB32" s="97"/>
      <c r="AC32" s="97" t="s">
        <v>157</v>
      </c>
      <c r="AD32" s="97" t="s">
        <v>132</v>
      </c>
      <c r="AE32" s="97" t="s">
        <v>133</v>
      </c>
      <c r="AF32" s="97" t="s">
        <v>329</v>
      </c>
      <c r="AG32" s="97" t="s">
        <v>31</v>
      </c>
      <c r="AH32" s="97">
        <v>621</v>
      </c>
      <c r="AI32" s="97"/>
      <c r="AJ32" s="97" t="s">
        <v>135</v>
      </c>
      <c r="AK32" s="97">
        <v>12</v>
      </c>
      <c r="AL32" s="97">
        <v>0</v>
      </c>
      <c r="AM32" s="97">
        <v>60</v>
      </c>
      <c r="AN32" s="97">
        <v>15</v>
      </c>
      <c r="AO32" s="97">
        <v>12</v>
      </c>
      <c r="AP32" s="97">
        <v>0</v>
      </c>
      <c r="AQ32" s="97">
        <v>14</v>
      </c>
      <c r="AR32" s="61">
        <v>20</v>
      </c>
      <c r="AS32" s="60">
        <v>9</v>
      </c>
      <c r="AT32" s="60">
        <v>40</v>
      </c>
      <c r="AU32" s="60">
        <v>4</v>
      </c>
      <c r="AV32" s="60">
        <v>4</v>
      </c>
      <c r="AW32" s="60">
        <v>4</v>
      </c>
      <c r="AX32" s="60">
        <v>0</v>
      </c>
      <c r="AY32" s="60">
        <v>15</v>
      </c>
      <c r="AZ32" s="61">
        <v>15</v>
      </c>
      <c r="BA32" s="60">
        <v>48</v>
      </c>
      <c r="BB32" s="60">
        <v>2</v>
      </c>
      <c r="BC32" s="60" t="e">
        <f>VLOOKUP($B$9,#REF!,2,TRUE)</f>
        <v>#REF!</v>
      </c>
      <c r="BD32" s="60" t="s">
        <v>31</v>
      </c>
      <c r="BE32" s="60"/>
      <c r="BG32" s="48"/>
      <c r="BH32" s="48"/>
      <c r="BI32" s="48"/>
      <c r="BJ32" s="48">
        <v>8</v>
      </c>
      <c r="BK32" s="73">
        <v>8</v>
      </c>
      <c r="BL32" s="48"/>
    </row>
    <row r="33" spans="1:64" s="45" customFormat="1" ht="15.75">
      <c r="A33" s="95">
        <v>38</v>
      </c>
      <c r="B33" s="96" t="s">
        <v>410</v>
      </c>
      <c r="C33" s="97" t="s">
        <v>411</v>
      </c>
      <c r="D33" s="97" t="s">
        <v>412</v>
      </c>
      <c r="E33" s="97" t="s">
        <v>413</v>
      </c>
      <c r="F33" s="97" t="s">
        <v>234</v>
      </c>
      <c r="G33" s="96" t="s">
        <v>414</v>
      </c>
      <c r="H33" s="96" t="s">
        <v>123</v>
      </c>
      <c r="I33" s="96" t="s">
        <v>151</v>
      </c>
      <c r="J33" s="96" t="s">
        <v>415</v>
      </c>
      <c r="K33" s="98" t="s">
        <v>355</v>
      </c>
      <c r="L33" s="97">
        <v>385</v>
      </c>
      <c r="M33" s="96" t="s">
        <v>154</v>
      </c>
      <c r="N33" s="96"/>
      <c r="O33" s="97" t="s">
        <v>155</v>
      </c>
      <c r="P33" s="97" t="s">
        <v>28</v>
      </c>
      <c r="Q33" s="97" t="s">
        <v>31</v>
      </c>
      <c r="R33" s="97" t="s">
        <v>28</v>
      </c>
      <c r="S33" s="97" t="s">
        <v>167</v>
      </c>
      <c r="T33" s="97">
        <v>2</v>
      </c>
      <c r="U33" s="97">
        <v>7</v>
      </c>
      <c r="V33" s="97">
        <v>0</v>
      </c>
      <c r="W33" s="97">
        <v>2</v>
      </c>
      <c r="X33" s="97" t="s">
        <v>168</v>
      </c>
      <c r="Y33" s="97" t="s">
        <v>168</v>
      </c>
      <c r="Z33" s="97" t="e">
        <v>#N/A</v>
      </c>
      <c r="AA33" s="97" t="e">
        <v>#N/A</v>
      </c>
      <c r="AB33" s="97"/>
      <c r="AC33" s="97" t="s">
        <v>157</v>
      </c>
      <c r="AD33" s="97" t="s">
        <v>132</v>
      </c>
      <c r="AE33" s="97" t="s">
        <v>133</v>
      </c>
      <c r="AF33" s="97" t="s">
        <v>134</v>
      </c>
      <c r="AG33" s="97" t="s">
        <v>31</v>
      </c>
      <c r="AH33" s="97">
        <v>654</v>
      </c>
      <c r="AI33" s="97">
        <v>500</v>
      </c>
      <c r="AJ33" s="97" t="s">
        <v>369</v>
      </c>
      <c r="AK33" s="97">
        <v>14</v>
      </c>
      <c r="AL33" s="97">
        <v>0</v>
      </c>
      <c r="AM33" s="97">
        <v>70</v>
      </c>
      <c r="AN33" s="97">
        <v>10</v>
      </c>
      <c r="AO33" s="97">
        <v>8</v>
      </c>
      <c r="AP33" s="99">
        <v>0</v>
      </c>
      <c r="AQ33" s="97">
        <v>14</v>
      </c>
      <c r="AR33" s="61">
        <v>21</v>
      </c>
      <c r="AS33" s="60">
        <v>9</v>
      </c>
      <c r="AT33" s="60">
        <v>40</v>
      </c>
      <c r="AU33" s="60">
        <v>4</v>
      </c>
      <c r="AV33" s="60">
        <v>4</v>
      </c>
      <c r="AW33" s="60">
        <v>4</v>
      </c>
      <c r="AX33" s="64">
        <v>0</v>
      </c>
      <c r="AY33" s="60">
        <v>15</v>
      </c>
      <c r="AZ33" s="61">
        <v>15</v>
      </c>
      <c r="BA33" s="60">
        <v>48</v>
      </c>
      <c r="BB33" s="60">
        <v>2</v>
      </c>
      <c r="BC33" s="60" t="e">
        <f>VLOOKUP($B$9,#REF!,2,TRUE)</f>
        <v>#REF!</v>
      </c>
      <c r="BD33" s="60" t="s">
        <v>31</v>
      </c>
      <c r="BE33" s="60"/>
      <c r="BG33" s="48"/>
      <c r="BH33" s="48"/>
      <c r="BI33" s="48"/>
      <c r="BJ33" s="48">
        <v>8</v>
      </c>
      <c r="BK33" s="73">
        <v>8</v>
      </c>
      <c r="BL33" s="48"/>
    </row>
    <row r="34" spans="1:64" s="45" customFormat="1" ht="15.75">
      <c r="A34" s="95">
        <v>401</v>
      </c>
      <c r="B34" s="96" t="s">
        <v>987</v>
      </c>
      <c r="C34" s="97" t="s">
        <v>988</v>
      </c>
      <c r="D34" s="97" t="s">
        <v>989</v>
      </c>
      <c r="E34" s="97" t="s">
        <v>990</v>
      </c>
      <c r="F34" s="97" t="s">
        <v>799</v>
      </c>
      <c r="G34" s="96" t="s">
        <v>991</v>
      </c>
      <c r="H34" s="96" t="s">
        <v>123</v>
      </c>
      <c r="I34" s="96" t="s">
        <v>124</v>
      </c>
      <c r="J34" s="96" t="s">
        <v>992</v>
      </c>
      <c r="K34" s="98" t="s">
        <v>701</v>
      </c>
      <c r="L34" s="97">
        <v>388</v>
      </c>
      <c r="M34" s="96" t="s">
        <v>154</v>
      </c>
      <c r="N34" s="96"/>
      <c r="O34" s="97" t="s">
        <v>155</v>
      </c>
      <c r="P34" s="97" t="s">
        <v>28</v>
      </c>
      <c r="Q34" s="97" t="s">
        <v>28</v>
      </c>
      <c r="R34" s="97" t="s">
        <v>31</v>
      </c>
      <c r="S34" s="97" t="s">
        <v>167</v>
      </c>
      <c r="T34" s="97">
        <v>2</v>
      </c>
      <c r="U34" s="97">
        <v>7</v>
      </c>
      <c r="V34" s="97">
        <v>0</v>
      </c>
      <c r="W34" s="97">
        <v>2</v>
      </c>
      <c r="X34" s="97" t="s">
        <v>168</v>
      </c>
      <c r="Y34" s="97" t="s">
        <v>168</v>
      </c>
      <c r="Z34" s="97" t="e">
        <v>#N/A</v>
      </c>
      <c r="AA34" s="97" t="e">
        <v>#N/A</v>
      </c>
      <c r="AB34" s="97"/>
      <c r="AC34" s="97" t="s">
        <v>157</v>
      </c>
      <c r="AD34" s="97" t="s">
        <v>132</v>
      </c>
      <c r="AE34" s="97" t="s">
        <v>133</v>
      </c>
      <c r="AF34" s="97" t="s">
        <v>329</v>
      </c>
      <c r="AG34" s="97" t="s">
        <v>31</v>
      </c>
      <c r="AH34" s="97">
        <v>654</v>
      </c>
      <c r="AI34" s="97">
        <v>500</v>
      </c>
      <c r="AJ34" s="97" t="s">
        <v>369</v>
      </c>
      <c r="AK34" s="97">
        <v>14</v>
      </c>
      <c r="AL34" s="97">
        <v>0</v>
      </c>
      <c r="AM34" s="97">
        <v>70</v>
      </c>
      <c r="AN34" s="97">
        <v>10</v>
      </c>
      <c r="AO34" s="97">
        <v>8</v>
      </c>
      <c r="AP34" s="97">
        <v>0</v>
      </c>
      <c r="AQ34" s="97">
        <v>14</v>
      </c>
      <c r="AR34" s="63">
        <v>21</v>
      </c>
      <c r="AS34" s="62">
        <v>9</v>
      </c>
      <c r="AT34" s="62">
        <v>40</v>
      </c>
      <c r="AU34" s="62">
        <v>4</v>
      </c>
      <c r="AV34" s="62">
        <v>4</v>
      </c>
      <c r="AW34" s="62">
        <v>4</v>
      </c>
      <c r="AX34" s="62">
        <v>0</v>
      </c>
      <c r="AY34" s="62">
        <v>15</v>
      </c>
      <c r="AZ34" s="63">
        <v>15</v>
      </c>
      <c r="BA34" s="62">
        <v>48</v>
      </c>
      <c r="BB34" s="62">
        <v>2</v>
      </c>
      <c r="BC34" s="62" t="e">
        <f>VLOOKUP($B$9,#REF!,2,TRUE)</f>
        <v>#REF!</v>
      </c>
      <c r="BD34" s="62" t="s">
        <v>31</v>
      </c>
      <c r="BE34" s="62"/>
      <c r="BG34" s="48"/>
      <c r="BH34" s="48"/>
      <c r="BI34" s="48"/>
      <c r="BJ34" s="48">
        <v>8</v>
      </c>
      <c r="BK34" s="73">
        <v>8</v>
      </c>
      <c r="BL34" s="49"/>
    </row>
    <row r="35" spans="1:64" s="45" customFormat="1" ht="15.75">
      <c r="A35" s="95">
        <v>406</v>
      </c>
      <c r="B35" s="96" t="s">
        <v>1072</v>
      </c>
      <c r="C35" s="97" t="s">
        <v>1073</v>
      </c>
      <c r="D35" s="97" t="s">
        <v>1074</v>
      </c>
      <c r="E35" s="97" t="s">
        <v>1075</v>
      </c>
      <c r="F35" s="97" t="s">
        <v>1076</v>
      </c>
      <c r="G35" s="96" t="s">
        <v>1077</v>
      </c>
      <c r="H35" s="96" t="s">
        <v>123</v>
      </c>
      <c r="I35" s="96" t="s">
        <v>124</v>
      </c>
      <c r="J35" s="96" t="s">
        <v>1078</v>
      </c>
      <c r="K35" s="98" t="s">
        <v>679</v>
      </c>
      <c r="L35" s="97">
        <v>427</v>
      </c>
      <c r="M35" s="96" t="s">
        <v>154</v>
      </c>
      <c r="N35" s="96"/>
      <c r="O35" s="97" t="s">
        <v>128</v>
      </c>
      <c r="P35" s="97" t="s">
        <v>31</v>
      </c>
      <c r="Q35" s="97" t="s">
        <v>28</v>
      </c>
      <c r="R35" s="97" t="s">
        <v>31</v>
      </c>
      <c r="S35" s="97" t="s">
        <v>167</v>
      </c>
      <c r="T35" s="97">
        <v>2</v>
      </c>
      <c r="U35" s="97">
        <v>7</v>
      </c>
      <c r="V35" s="97">
        <v>0</v>
      </c>
      <c r="W35" s="97">
        <v>2</v>
      </c>
      <c r="X35" s="97" t="s">
        <v>168</v>
      </c>
      <c r="Y35" s="97" t="s">
        <v>168</v>
      </c>
      <c r="Z35" s="97" t="e">
        <v>#N/A</v>
      </c>
      <c r="AA35" s="97" t="e">
        <v>#N/A</v>
      </c>
      <c r="AB35" s="97"/>
      <c r="AC35" s="97" t="s">
        <v>157</v>
      </c>
      <c r="AD35" s="97" t="s">
        <v>132</v>
      </c>
      <c r="AE35" s="97" t="s">
        <v>133</v>
      </c>
      <c r="AF35" s="97" t="s">
        <v>329</v>
      </c>
      <c r="AG35" s="97" t="s">
        <v>31</v>
      </c>
      <c r="AH35" s="97">
        <v>654</v>
      </c>
      <c r="AI35" s="97">
        <v>500</v>
      </c>
      <c r="AJ35" s="97" t="s">
        <v>369</v>
      </c>
      <c r="AK35" s="97">
        <v>14</v>
      </c>
      <c r="AL35" s="97">
        <v>0</v>
      </c>
      <c r="AM35" s="97">
        <v>70</v>
      </c>
      <c r="AN35" s="97">
        <v>10</v>
      </c>
      <c r="AO35" s="97">
        <v>8</v>
      </c>
      <c r="AP35" s="99">
        <v>0</v>
      </c>
      <c r="AQ35" s="97">
        <v>14</v>
      </c>
      <c r="AR35" s="63">
        <v>21</v>
      </c>
      <c r="AS35" s="62">
        <v>9</v>
      </c>
      <c r="AT35" s="62">
        <v>40</v>
      </c>
      <c r="AU35" s="62">
        <v>4</v>
      </c>
      <c r="AV35" s="62">
        <v>4</v>
      </c>
      <c r="AW35" s="62">
        <v>4</v>
      </c>
      <c r="AX35" s="64">
        <v>0</v>
      </c>
      <c r="AY35" s="60">
        <v>15</v>
      </c>
      <c r="AZ35" s="63">
        <v>15</v>
      </c>
      <c r="BA35" s="62">
        <v>48</v>
      </c>
      <c r="BB35" s="62">
        <v>2</v>
      </c>
      <c r="BC35" s="62" t="e">
        <f>VLOOKUP($B$9,#REF!,2,TRUE)</f>
        <v>#REF!</v>
      </c>
      <c r="BD35" s="62" t="s">
        <v>31</v>
      </c>
      <c r="BE35" s="62"/>
      <c r="BG35" s="48"/>
      <c r="BH35" s="48"/>
      <c r="BI35" s="48"/>
      <c r="BJ35" s="48">
        <v>8</v>
      </c>
      <c r="BK35" s="73">
        <v>8</v>
      </c>
      <c r="BL35" s="48"/>
    </row>
    <row r="36" spans="1:64" s="45" customFormat="1" ht="15.75">
      <c r="A36" s="95">
        <v>438</v>
      </c>
      <c r="B36" s="96" t="s">
        <v>770</v>
      </c>
      <c r="C36" s="97" t="s">
        <v>771</v>
      </c>
      <c r="D36" s="97" t="s">
        <v>772</v>
      </c>
      <c r="E36" s="97" t="s">
        <v>606</v>
      </c>
      <c r="F36" s="97" t="s">
        <v>392</v>
      </c>
      <c r="G36" s="96" t="s">
        <v>773</v>
      </c>
      <c r="H36" s="96" t="s">
        <v>123</v>
      </c>
      <c r="I36" s="96" t="s">
        <v>124</v>
      </c>
      <c r="J36" s="96" t="s">
        <v>774</v>
      </c>
      <c r="K36" s="98" t="s">
        <v>126</v>
      </c>
      <c r="L36" s="97">
        <v>680</v>
      </c>
      <c r="M36" s="96" t="s">
        <v>154</v>
      </c>
      <c r="N36" s="96"/>
      <c r="O36" s="97" t="s">
        <v>128</v>
      </c>
      <c r="P36" s="97"/>
      <c r="Q36" s="97"/>
      <c r="R36" s="97" t="s">
        <v>31</v>
      </c>
      <c r="S36" s="97" t="s">
        <v>775</v>
      </c>
      <c r="T36" s="97">
        <v>5</v>
      </c>
      <c r="U36" s="97">
        <v>11</v>
      </c>
      <c r="V36" s="97">
        <v>0</v>
      </c>
      <c r="W36" s="97">
        <v>4</v>
      </c>
      <c r="X36" s="97" t="s">
        <v>776</v>
      </c>
      <c r="Y36" s="97" t="s">
        <v>776</v>
      </c>
      <c r="Z36" s="97" t="s">
        <v>776</v>
      </c>
      <c r="AA36" s="97" t="s">
        <v>777</v>
      </c>
      <c r="AB36" s="97"/>
      <c r="AC36" s="97" t="s">
        <v>157</v>
      </c>
      <c r="AD36" s="97" t="s">
        <v>775</v>
      </c>
      <c r="AE36" s="97"/>
      <c r="AF36" s="97" t="s">
        <v>134</v>
      </c>
      <c r="AG36" s="97" t="s">
        <v>31</v>
      </c>
      <c r="AH36" s="97">
        <v>812</v>
      </c>
      <c r="AI36" s="97">
        <v>700</v>
      </c>
      <c r="AJ36" s="97">
        <v>900</v>
      </c>
      <c r="AK36" s="97">
        <v>0</v>
      </c>
      <c r="AL36" s="97">
        <v>0</v>
      </c>
      <c r="AM36" s="97">
        <v>0</v>
      </c>
      <c r="AN36" s="97">
        <v>0</v>
      </c>
      <c r="AO36" s="97">
        <v>0</v>
      </c>
      <c r="AP36" s="97">
        <v>0</v>
      </c>
      <c r="AQ36" s="97">
        <v>16</v>
      </c>
      <c r="AR36" s="61">
        <v>0</v>
      </c>
      <c r="AS36" s="60"/>
      <c r="AT36" s="60">
        <v>40</v>
      </c>
      <c r="AU36" s="60">
        <v>4</v>
      </c>
      <c r="AV36" s="60">
        <v>4</v>
      </c>
      <c r="AW36" s="60">
        <v>4</v>
      </c>
      <c r="AX36" s="60">
        <v>0</v>
      </c>
      <c r="AY36" s="60">
        <v>15</v>
      </c>
      <c r="AZ36" s="61">
        <v>15</v>
      </c>
      <c r="BA36" s="60">
        <v>48</v>
      </c>
      <c r="BB36" s="60">
        <v>2</v>
      </c>
      <c r="BC36" s="60" t="e">
        <f>VLOOKUP($B$9,#REF!,2,TRUE)</f>
        <v>#REF!</v>
      </c>
      <c r="BD36" s="60" t="s">
        <v>31</v>
      </c>
      <c r="BE36" s="60"/>
      <c r="BG36" s="48"/>
      <c r="BH36" s="48"/>
      <c r="BI36" s="48"/>
      <c r="BJ36" s="48">
        <v>8</v>
      </c>
      <c r="BK36" s="73"/>
      <c r="BL36" s="48"/>
    </row>
    <row r="37" spans="1:64" s="45" customFormat="1" ht="15.75">
      <c r="A37" s="95">
        <v>96</v>
      </c>
      <c r="B37" s="96" t="s">
        <v>1262</v>
      </c>
      <c r="C37" s="97" t="s">
        <v>1263</v>
      </c>
      <c r="D37" s="97" t="s">
        <v>1264</v>
      </c>
      <c r="E37" s="97" t="s">
        <v>1265</v>
      </c>
      <c r="F37" s="97" t="s">
        <v>1266</v>
      </c>
      <c r="G37" s="96" t="s">
        <v>1267</v>
      </c>
      <c r="H37" s="96" t="s">
        <v>137</v>
      </c>
      <c r="I37" s="96" t="s">
        <v>1268</v>
      </c>
      <c r="J37" s="96" t="s">
        <v>1269</v>
      </c>
      <c r="K37" s="98" t="s">
        <v>936</v>
      </c>
      <c r="L37" s="97">
        <v>420</v>
      </c>
      <c r="M37" s="96" t="s">
        <v>154</v>
      </c>
      <c r="N37" s="96"/>
      <c r="O37" s="97" t="s">
        <v>155</v>
      </c>
      <c r="P37" s="97"/>
      <c r="Q37" s="97"/>
      <c r="R37" s="97" t="s">
        <v>31</v>
      </c>
      <c r="S37" s="97" t="s">
        <v>775</v>
      </c>
      <c r="T37" s="97">
        <v>2</v>
      </c>
      <c r="U37" s="97">
        <v>8</v>
      </c>
      <c r="V37" s="97">
        <v>0</v>
      </c>
      <c r="W37" s="97">
        <v>2</v>
      </c>
      <c r="X37" s="115" t="s">
        <v>1270</v>
      </c>
      <c r="Y37" s="117" t="s">
        <v>1271</v>
      </c>
      <c r="Z37" s="117" t="e">
        <v>#N/A</v>
      </c>
      <c r="AA37" s="117" t="e">
        <v>#N/A</v>
      </c>
      <c r="AB37" s="117"/>
      <c r="AC37" s="97" t="s">
        <v>1272</v>
      </c>
      <c r="AD37" s="97" t="s">
        <v>775</v>
      </c>
      <c r="AE37" s="97"/>
      <c r="AF37" s="97" t="s">
        <v>329</v>
      </c>
      <c r="AG37" s="97" t="s">
        <v>31</v>
      </c>
      <c r="AH37" s="97">
        <v>608</v>
      </c>
      <c r="AI37" s="97"/>
      <c r="AJ37" s="97" t="s">
        <v>135</v>
      </c>
      <c r="AK37" s="97">
        <v>0</v>
      </c>
      <c r="AL37" s="97">
        <v>0</v>
      </c>
      <c r="AM37" s="97">
        <v>0</v>
      </c>
      <c r="AN37" s="97">
        <v>0</v>
      </c>
      <c r="AO37" s="97">
        <v>0</v>
      </c>
      <c r="AP37" s="99">
        <v>0</v>
      </c>
      <c r="AQ37" s="97">
        <v>16</v>
      </c>
      <c r="AR37" s="63">
        <v>0</v>
      </c>
      <c r="AS37" s="62">
        <v>0</v>
      </c>
      <c r="AT37" s="62">
        <v>40</v>
      </c>
      <c r="AU37" s="62">
        <v>4</v>
      </c>
      <c r="AV37" s="62">
        <v>4</v>
      </c>
      <c r="AW37" s="62">
        <v>4</v>
      </c>
      <c r="AX37" s="58">
        <v>0</v>
      </c>
      <c r="AY37" s="62">
        <v>15</v>
      </c>
      <c r="AZ37" s="63">
        <v>15</v>
      </c>
      <c r="BA37" s="62">
        <v>48</v>
      </c>
      <c r="BB37" s="62">
        <v>2</v>
      </c>
      <c r="BC37" s="62" t="e">
        <f>VLOOKUP($B$9,#REF!,2,TRUE)</f>
        <v>#REF!</v>
      </c>
      <c r="BD37" s="62" t="s">
        <v>31</v>
      </c>
      <c r="BE37" s="62"/>
      <c r="BI37" s="48"/>
      <c r="BJ37" s="48">
        <v>8</v>
      </c>
      <c r="BK37" s="73"/>
      <c r="BL37" s="48"/>
    </row>
    <row r="38" spans="1:64" s="45" customFormat="1" ht="15.75">
      <c r="A38" s="95">
        <v>483</v>
      </c>
      <c r="B38" s="96" t="s">
        <v>1256</v>
      </c>
      <c r="C38" s="97" t="s">
        <v>1257</v>
      </c>
      <c r="D38" s="97" t="s">
        <v>1258</v>
      </c>
      <c r="E38" s="97" t="s">
        <v>1259</v>
      </c>
      <c r="F38" s="97" t="s">
        <v>217</v>
      </c>
      <c r="G38" s="96" t="s">
        <v>1260</v>
      </c>
      <c r="H38" s="96" t="s">
        <v>123</v>
      </c>
      <c r="I38" s="96" t="s">
        <v>401</v>
      </c>
      <c r="J38" s="96" t="s">
        <v>1261</v>
      </c>
      <c r="K38" s="98" t="s">
        <v>1176</v>
      </c>
      <c r="L38" s="97">
        <v>436</v>
      </c>
      <c r="M38" s="96" t="s">
        <v>154</v>
      </c>
      <c r="N38" s="96"/>
      <c r="O38" s="97" t="s">
        <v>155</v>
      </c>
      <c r="P38" s="97" t="s">
        <v>31</v>
      </c>
      <c r="Q38" s="97" t="s">
        <v>28</v>
      </c>
      <c r="R38" s="97" t="s">
        <v>31</v>
      </c>
      <c r="S38" s="97" t="s">
        <v>611</v>
      </c>
      <c r="T38" s="97">
        <v>6</v>
      </c>
      <c r="U38" s="97">
        <v>4</v>
      </c>
      <c r="V38" s="97">
        <v>0</v>
      </c>
      <c r="W38" s="97">
        <v>0</v>
      </c>
      <c r="X38" s="100" t="e">
        <v>#N/A</v>
      </c>
      <c r="Y38" s="100" t="e">
        <v>#N/A</v>
      </c>
      <c r="Z38" s="100" t="e">
        <v>#N/A</v>
      </c>
      <c r="AA38" s="100" t="e">
        <v>#N/A</v>
      </c>
      <c r="AB38" s="100" t="s">
        <v>31</v>
      </c>
      <c r="AC38" s="97" t="s">
        <v>157</v>
      </c>
      <c r="AD38" s="97" t="s">
        <v>158</v>
      </c>
      <c r="AE38" s="97" t="s">
        <v>133</v>
      </c>
      <c r="AF38" s="97" t="s">
        <v>329</v>
      </c>
      <c r="AG38" s="97" t="s">
        <v>31</v>
      </c>
      <c r="AH38" s="97">
        <v>541</v>
      </c>
      <c r="AI38" s="97"/>
      <c r="AJ38" s="97" t="s">
        <v>135</v>
      </c>
      <c r="AK38" s="97">
        <v>8</v>
      </c>
      <c r="AL38" s="97">
        <v>0</v>
      </c>
      <c r="AM38" s="97">
        <v>40</v>
      </c>
      <c r="AN38" s="97">
        <v>30</v>
      </c>
      <c r="AO38" s="97">
        <v>24</v>
      </c>
      <c r="AP38" s="97">
        <v>0</v>
      </c>
      <c r="AQ38" s="97">
        <v>16</v>
      </c>
      <c r="AR38" s="61">
        <v>19</v>
      </c>
      <c r="AS38" s="60">
        <v>10</v>
      </c>
      <c r="AT38" s="60">
        <v>40</v>
      </c>
      <c r="AU38" s="60">
        <v>4</v>
      </c>
      <c r="AV38" s="60">
        <v>4</v>
      </c>
      <c r="AW38" s="60">
        <v>4</v>
      </c>
      <c r="AX38" s="60">
        <v>0</v>
      </c>
      <c r="AY38" s="60">
        <v>15</v>
      </c>
      <c r="AZ38" s="61">
        <v>15</v>
      </c>
      <c r="BA38" s="60">
        <v>48</v>
      </c>
      <c r="BB38" s="60">
        <v>2</v>
      </c>
      <c r="BC38" s="60" t="e">
        <f>VLOOKUP($B$9,#REF!,2,TRUE)</f>
        <v>#REF!</v>
      </c>
      <c r="BD38" s="60" t="s">
        <v>31</v>
      </c>
      <c r="BE38" s="60"/>
      <c r="BI38" s="48"/>
      <c r="BJ38" s="48">
        <v>8</v>
      </c>
      <c r="BK38" s="73">
        <v>8</v>
      </c>
      <c r="BL38" s="48"/>
    </row>
    <row r="39" spans="1:64" s="45" customFormat="1" ht="15.75">
      <c r="A39" s="95">
        <v>42</v>
      </c>
      <c r="B39" s="96" t="s">
        <v>584</v>
      </c>
      <c r="C39" s="97" t="s">
        <v>585</v>
      </c>
      <c r="D39" s="97" t="s">
        <v>120</v>
      </c>
      <c r="E39" s="97" t="s">
        <v>586</v>
      </c>
      <c r="F39" s="97" t="s">
        <v>296</v>
      </c>
      <c r="G39" s="96" t="s">
        <v>587</v>
      </c>
      <c r="H39" s="96" t="s">
        <v>123</v>
      </c>
      <c r="I39" s="96" t="s">
        <v>124</v>
      </c>
      <c r="J39" s="96" t="s">
        <v>588</v>
      </c>
      <c r="K39" s="98" t="s">
        <v>126</v>
      </c>
      <c r="L39" s="97">
        <v>403</v>
      </c>
      <c r="M39" s="96" t="s">
        <v>154</v>
      </c>
      <c r="N39" s="96"/>
      <c r="O39" s="97" t="s">
        <v>128</v>
      </c>
      <c r="P39" s="97" t="s">
        <v>31</v>
      </c>
      <c r="Q39" s="97" t="s">
        <v>31</v>
      </c>
      <c r="R39" s="97" t="s">
        <v>31</v>
      </c>
      <c r="S39" s="97" t="s">
        <v>167</v>
      </c>
      <c r="T39" s="97">
        <v>4</v>
      </c>
      <c r="U39" s="97">
        <v>6</v>
      </c>
      <c r="V39" s="97">
        <v>0</v>
      </c>
      <c r="W39" s="97">
        <v>0</v>
      </c>
      <c r="X39" s="97" t="e">
        <v>#N/A</v>
      </c>
      <c r="Y39" s="97" t="e">
        <v>#N/A</v>
      </c>
      <c r="Z39" s="97" t="e">
        <v>#N/A</v>
      </c>
      <c r="AA39" s="97" t="e">
        <v>#N/A</v>
      </c>
      <c r="AB39" s="97"/>
      <c r="AC39" s="97" t="s">
        <v>157</v>
      </c>
      <c r="AD39" s="97" t="s">
        <v>132</v>
      </c>
      <c r="AE39" s="97" t="s">
        <v>133</v>
      </c>
      <c r="AF39" s="97" t="s">
        <v>329</v>
      </c>
      <c r="AG39" s="97" t="s">
        <v>31</v>
      </c>
      <c r="AH39" s="97">
        <v>856</v>
      </c>
      <c r="AI39" s="97">
        <v>500</v>
      </c>
      <c r="AJ39" s="97" t="s">
        <v>369</v>
      </c>
      <c r="AK39" s="97">
        <v>12</v>
      </c>
      <c r="AL39" s="97">
        <v>0</v>
      </c>
      <c r="AM39" s="97">
        <v>60</v>
      </c>
      <c r="AN39" s="97">
        <v>20</v>
      </c>
      <c r="AO39" s="97">
        <v>16</v>
      </c>
      <c r="AP39" s="99">
        <v>0</v>
      </c>
      <c r="AQ39" s="97">
        <v>16</v>
      </c>
      <c r="AR39" s="61">
        <v>21</v>
      </c>
      <c r="AS39" s="60">
        <v>10</v>
      </c>
      <c r="AT39" s="60">
        <v>40</v>
      </c>
      <c r="AU39" s="60">
        <v>4</v>
      </c>
      <c r="AV39" s="60">
        <v>4</v>
      </c>
      <c r="AW39" s="60">
        <v>4</v>
      </c>
      <c r="AX39" s="64">
        <v>0</v>
      </c>
      <c r="AY39" s="60">
        <v>15</v>
      </c>
      <c r="AZ39" s="61">
        <v>15</v>
      </c>
      <c r="BA39" s="60">
        <v>48</v>
      </c>
      <c r="BB39" s="60">
        <v>2</v>
      </c>
      <c r="BC39" s="60" t="e">
        <f>VLOOKUP($B$9,#REF!,2,TRUE)</f>
        <v>#REF!</v>
      </c>
      <c r="BD39" s="60" t="s">
        <v>31</v>
      </c>
      <c r="BE39" s="60"/>
      <c r="BG39" s="48"/>
      <c r="BH39" s="48"/>
      <c r="BI39" s="48"/>
      <c r="BJ39" s="48">
        <v>8</v>
      </c>
      <c r="BK39" s="73">
        <v>8</v>
      </c>
      <c r="BL39" s="48"/>
    </row>
    <row r="40" spans="1:64" s="45" customFormat="1" ht="15.75">
      <c r="A40" s="95">
        <v>414</v>
      </c>
      <c r="B40" s="96" t="s">
        <v>603</v>
      </c>
      <c r="C40" s="97" t="s">
        <v>604</v>
      </c>
      <c r="D40" s="97" t="s">
        <v>605</v>
      </c>
      <c r="E40" s="97" t="s">
        <v>606</v>
      </c>
      <c r="F40" s="97" t="s">
        <v>607</v>
      </c>
      <c r="G40" s="96" t="s">
        <v>608</v>
      </c>
      <c r="H40" s="96" t="s">
        <v>123</v>
      </c>
      <c r="I40" s="96" t="s">
        <v>124</v>
      </c>
      <c r="J40" s="96" t="s">
        <v>609</v>
      </c>
      <c r="K40" s="98" t="s">
        <v>610</v>
      </c>
      <c r="L40" s="97">
        <v>461</v>
      </c>
      <c r="M40" s="96" t="s">
        <v>154</v>
      </c>
      <c r="N40" s="96"/>
      <c r="O40" s="97" t="s">
        <v>155</v>
      </c>
      <c r="P40" s="97" t="s">
        <v>31</v>
      </c>
      <c r="Q40" s="97" t="s">
        <v>31</v>
      </c>
      <c r="R40" s="97" t="s">
        <v>31</v>
      </c>
      <c r="S40" s="97" t="s">
        <v>611</v>
      </c>
      <c r="T40" s="97">
        <v>5</v>
      </c>
      <c r="U40" s="97">
        <v>6</v>
      </c>
      <c r="V40" s="97">
        <v>0</v>
      </c>
      <c r="W40" s="97">
        <v>3</v>
      </c>
      <c r="X40" s="97" t="s">
        <v>168</v>
      </c>
      <c r="Y40" s="97" t="s">
        <v>168</v>
      </c>
      <c r="Z40" s="97" t="s">
        <v>168</v>
      </c>
      <c r="AA40" s="97" t="e">
        <v>#N/A</v>
      </c>
      <c r="AB40" s="97" t="s">
        <v>31</v>
      </c>
      <c r="AC40" s="97" t="s">
        <v>157</v>
      </c>
      <c r="AD40" s="97" t="s">
        <v>158</v>
      </c>
      <c r="AE40" s="97" t="s">
        <v>133</v>
      </c>
      <c r="AF40" s="97" t="s">
        <v>134</v>
      </c>
      <c r="AG40" s="97" t="s">
        <v>28</v>
      </c>
      <c r="AH40" s="97">
        <v>685</v>
      </c>
      <c r="AI40" s="97">
        <v>700</v>
      </c>
      <c r="AJ40" s="97">
        <v>900</v>
      </c>
      <c r="AK40" s="97">
        <v>12</v>
      </c>
      <c r="AL40" s="97">
        <v>0</v>
      </c>
      <c r="AM40" s="97">
        <v>60</v>
      </c>
      <c r="AN40" s="97">
        <v>25</v>
      </c>
      <c r="AO40" s="97">
        <v>20</v>
      </c>
      <c r="AP40" s="97">
        <v>0</v>
      </c>
      <c r="AQ40" s="97">
        <v>16</v>
      </c>
      <c r="AR40" s="63">
        <v>22</v>
      </c>
      <c r="AS40" s="62">
        <v>11</v>
      </c>
      <c r="AT40" s="62">
        <v>40</v>
      </c>
      <c r="AU40" s="62">
        <v>4</v>
      </c>
      <c r="AV40" s="62">
        <v>4</v>
      </c>
      <c r="AW40" s="62">
        <v>4</v>
      </c>
      <c r="AX40" s="62">
        <v>0</v>
      </c>
      <c r="AY40" s="62">
        <v>15</v>
      </c>
      <c r="AZ40" s="63">
        <v>15</v>
      </c>
      <c r="BA40" s="62">
        <v>48</v>
      </c>
      <c r="BB40" s="62">
        <v>2</v>
      </c>
      <c r="BC40" s="62" t="e">
        <f>VLOOKUP($B$9,#REF!,2,TRUE)</f>
        <v>#REF!</v>
      </c>
      <c r="BD40" s="62" t="s">
        <v>31</v>
      </c>
      <c r="BE40" s="62"/>
      <c r="BG40" s="48"/>
      <c r="BH40" s="48"/>
      <c r="BI40" s="48"/>
      <c r="BJ40" s="48">
        <v>8</v>
      </c>
      <c r="BK40" s="73">
        <v>8</v>
      </c>
      <c r="BL40" s="48"/>
    </row>
    <row r="41" spans="1:64" s="45" customFormat="1" ht="15.75">
      <c r="A41" s="95">
        <v>455</v>
      </c>
      <c r="B41" s="96" t="s">
        <v>869</v>
      </c>
      <c r="C41" s="97" t="s">
        <v>870</v>
      </c>
      <c r="D41" s="97" t="s">
        <v>871</v>
      </c>
      <c r="E41" s="97" t="s">
        <v>872</v>
      </c>
      <c r="F41" s="97" t="s">
        <v>873</v>
      </c>
      <c r="G41" s="96" t="s">
        <v>874</v>
      </c>
      <c r="H41" s="96" t="s">
        <v>123</v>
      </c>
      <c r="I41" s="96" t="s">
        <v>401</v>
      </c>
      <c r="J41" s="96" t="s">
        <v>875</v>
      </c>
      <c r="K41" s="98" t="s">
        <v>701</v>
      </c>
      <c r="L41" s="97">
        <v>357</v>
      </c>
      <c r="M41" s="96" t="s">
        <v>154</v>
      </c>
      <c r="N41" s="96"/>
      <c r="O41" s="97" t="s">
        <v>284</v>
      </c>
      <c r="P41" s="97" t="s">
        <v>31</v>
      </c>
      <c r="Q41" s="97" t="s">
        <v>28</v>
      </c>
      <c r="R41" s="97" t="s">
        <v>31</v>
      </c>
      <c r="S41" s="97" t="s">
        <v>184</v>
      </c>
      <c r="T41" s="97">
        <v>4</v>
      </c>
      <c r="U41" s="97">
        <v>6</v>
      </c>
      <c r="V41" s="97">
        <v>0</v>
      </c>
      <c r="W41" s="97">
        <v>0</v>
      </c>
      <c r="X41" s="97" t="e">
        <v>#N/A</v>
      </c>
      <c r="Y41" s="97" t="e">
        <v>#N/A</v>
      </c>
      <c r="Z41" s="97" t="e">
        <v>#N/A</v>
      </c>
      <c r="AA41" s="97" t="e">
        <v>#N/A</v>
      </c>
      <c r="AB41" s="97"/>
      <c r="AC41" s="97" t="s">
        <v>157</v>
      </c>
      <c r="AD41" s="97" t="s">
        <v>132</v>
      </c>
      <c r="AE41" s="97" t="s">
        <v>133</v>
      </c>
      <c r="AF41" s="97" t="s">
        <v>134</v>
      </c>
      <c r="AG41" s="97" t="s">
        <v>31</v>
      </c>
      <c r="AH41" s="97">
        <v>668</v>
      </c>
      <c r="AI41" s="97"/>
      <c r="AJ41" s="97" t="s">
        <v>135</v>
      </c>
      <c r="AK41" s="97">
        <v>12</v>
      </c>
      <c r="AL41" s="97">
        <v>0</v>
      </c>
      <c r="AM41" s="97">
        <v>60</v>
      </c>
      <c r="AN41" s="97">
        <v>20</v>
      </c>
      <c r="AO41" s="97">
        <v>16</v>
      </c>
      <c r="AP41" s="99">
        <v>0</v>
      </c>
      <c r="AQ41" s="97">
        <v>16</v>
      </c>
      <c r="AR41" s="63">
        <v>21</v>
      </c>
      <c r="AS41" s="62">
        <v>10</v>
      </c>
      <c r="AT41" s="62">
        <v>40</v>
      </c>
      <c r="AU41" s="62">
        <v>4</v>
      </c>
      <c r="AV41" s="62">
        <v>4</v>
      </c>
      <c r="AW41" s="62">
        <v>4</v>
      </c>
      <c r="AX41" s="58">
        <v>0</v>
      </c>
      <c r="AY41" s="62">
        <v>15</v>
      </c>
      <c r="AZ41" s="63">
        <v>15</v>
      </c>
      <c r="BA41" s="62">
        <v>48</v>
      </c>
      <c r="BB41" s="62">
        <v>2</v>
      </c>
      <c r="BC41" s="62" t="e">
        <f>VLOOKUP($B$9,#REF!,2,TRUE)</f>
        <v>#REF!</v>
      </c>
      <c r="BD41" s="62" t="s">
        <v>31</v>
      </c>
      <c r="BE41" s="62"/>
      <c r="BG41" s="48"/>
      <c r="BH41" s="48"/>
      <c r="BI41" s="48"/>
      <c r="BJ41" s="48">
        <v>8</v>
      </c>
      <c r="BK41" s="73">
        <v>8</v>
      </c>
      <c r="BL41" s="48"/>
    </row>
    <row r="42" spans="1:64" s="45" customFormat="1" ht="15.75">
      <c r="A42" s="95">
        <v>448</v>
      </c>
      <c r="B42" s="96" t="s">
        <v>1141</v>
      </c>
      <c r="C42" s="97" t="s">
        <v>1142</v>
      </c>
      <c r="D42" s="97" t="s">
        <v>1143</v>
      </c>
      <c r="E42" s="97" t="s">
        <v>1144</v>
      </c>
      <c r="F42" s="97" t="s">
        <v>217</v>
      </c>
      <c r="G42" s="96" t="s">
        <v>1145</v>
      </c>
      <c r="H42" s="96" t="s">
        <v>123</v>
      </c>
      <c r="I42" s="96" t="s">
        <v>124</v>
      </c>
      <c r="J42" s="96" t="s">
        <v>1146</v>
      </c>
      <c r="K42" s="98" t="s">
        <v>246</v>
      </c>
      <c r="L42" s="97">
        <v>357</v>
      </c>
      <c r="M42" s="96" t="s">
        <v>154</v>
      </c>
      <c r="N42" s="96"/>
      <c r="O42" s="97" t="s">
        <v>284</v>
      </c>
      <c r="P42" s="97" t="s">
        <v>31</v>
      </c>
      <c r="Q42" s="97" t="s">
        <v>28</v>
      </c>
      <c r="R42" s="97" t="s">
        <v>31</v>
      </c>
      <c r="S42" s="97" t="s">
        <v>184</v>
      </c>
      <c r="T42" s="97">
        <v>4</v>
      </c>
      <c r="U42" s="97">
        <v>6</v>
      </c>
      <c r="V42" s="97">
        <v>0</v>
      </c>
      <c r="W42" s="97">
        <v>0</v>
      </c>
      <c r="X42" s="97" t="e">
        <v>#N/A</v>
      </c>
      <c r="Y42" s="97" t="e">
        <v>#N/A</v>
      </c>
      <c r="Z42" s="97" t="e">
        <v>#N/A</v>
      </c>
      <c r="AA42" s="97" t="e">
        <v>#N/A</v>
      </c>
      <c r="AB42" s="97"/>
      <c r="AC42" s="97" t="s">
        <v>157</v>
      </c>
      <c r="AD42" s="97" t="s">
        <v>132</v>
      </c>
      <c r="AE42" s="97" t="s">
        <v>133</v>
      </c>
      <c r="AF42" s="97" t="s">
        <v>134</v>
      </c>
      <c r="AG42" s="97" t="s">
        <v>31</v>
      </c>
      <c r="AH42" s="97">
        <v>668</v>
      </c>
      <c r="AI42" s="97">
        <v>500</v>
      </c>
      <c r="AJ42" s="97" t="s">
        <v>369</v>
      </c>
      <c r="AK42" s="97">
        <v>12</v>
      </c>
      <c r="AL42" s="97">
        <v>0</v>
      </c>
      <c r="AM42" s="97">
        <v>60</v>
      </c>
      <c r="AN42" s="97">
        <v>20</v>
      </c>
      <c r="AO42" s="97">
        <v>16</v>
      </c>
      <c r="AP42" s="97">
        <v>0</v>
      </c>
      <c r="AQ42" s="97">
        <v>16</v>
      </c>
      <c r="AR42" s="63">
        <v>21</v>
      </c>
      <c r="AS42" s="62">
        <v>10</v>
      </c>
      <c r="AT42" s="62">
        <v>40</v>
      </c>
      <c r="AU42" s="62">
        <v>4</v>
      </c>
      <c r="AV42" s="62">
        <v>4</v>
      </c>
      <c r="AW42" s="62">
        <v>4</v>
      </c>
      <c r="AX42" s="62">
        <v>0</v>
      </c>
      <c r="AY42" s="62">
        <v>15</v>
      </c>
      <c r="AZ42" s="63">
        <v>15</v>
      </c>
      <c r="BA42" s="62">
        <v>48</v>
      </c>
      <c r="BB42" s="62">
        <v>2</v>
      </c>
      <c r="BC42" s="62" t="e">
        <f>VLOOKUP($B$9,#REF!,2,TRUE)</f>
        <v>#REF!</v>
      </c>
      <c r="BD42" s="62" t="s">
        <v>31</v>
      </c>
      <c r="BE42" s="62"/>
      <c r="BG42" s="48"/>
      <c r="BH42" s="48"/>
      <c r="BI42" s="48"/>
      <c r="BJ42" s="48">
        <v>8</v>
      </c>
      <c r="BK42" s="73">
        <v>8</v>
      </c>
      <c r="BL42" s="48"/>
    </row>
    <row r="43" spans="1:64" s="45" customFormat="1" ht="15.75">
      <c r="A43" s="95">
        <v>456</v>
      </c>
      <c r="B43" s="96" t="s">
        <v>1170</v>
      </c>
      <c r="C43" s="97" t="s">
        <v>1171</v>
      </c>
      <c r="D43" s="97" t="s">
        <v>1172</v>
      </c>
      <c r="E43" s="97" t="s">
        <v>1173</v>
      </c>
      <c r="F43" s="97" t="s">
        <v>217</v>
      </c>
      <c r="G43" s="96" t="s">
        <v>1174</v>
      </c>
      <c r="H43" s="96" t="s">
        <v>123</v>
      </c>
      <c r="I43" s="96" t="s">
        <v>124</v>
      </c>
      <c r="J43" s="96" t="s">
        <v>1175</v>
      </c>
      <c r="K43" s="98" t="s">
        <v>1176</v>
      </c>
      <c r="L43" s="97">
        <v>357</v>
      </c>
      <c r="M43" s="96" t="s">
        <v>154</v>
      </c>
      <c r="N43" s="96"/>
      <c r="O43" s="97" t="s">
        <v>284</v>
      </c>
      <c r="P43" s="97" t="s">
        <v>31</v>
      </c>
      <c r="Q43" s="97" t="s">
        <v>28</v>
      </c>
      <c r="R43" s="97" t="s">
        <v>31</v>
      </c>
      <c r="S43" s="97" t="s">
        <v>184</v>
      </c>
      <c r="T43" s="97">
        <v>4</v>
      </c>
      <c r="U43" s="97">
        <v>6</v>
      </c>
      <c r="V43" s="97">
        <v>0</v>
      </c>
      <c r="W43" s="97">
        <v>0</v>
      </c>
      <c r="X43" s="97" t="e">
        <v>#N/A</v>
      </c>
      <c r="Y43" s="97" t="e">
        <v>#N/A</v>
      </c>
      <c r="Z43" s="97" t="e">
        <v>#N/A</v>
      </c>
      <c r="AA43" s="97" t="e">
        <v>#N/A</v>
      </c>
      <c r="AB43" s="97" t="s">
        <v>28</v>
      </c>
      <c r="AC43" s="97" t="s">
        <v>157</v>
      </c>
      <c r="AD43" s="97" t="s">
        <v>132</v>
      </c>
      <c r="AE43" s="97" t="s">
        <v>133</v>
      </c>
      <c r="AF43" s="97" t="s">
        <v>134</v>
      </c>
      <c r="AG43" s="97" t="s">
        <v>31</v>
      </c>
      <c r="AH43" s="97">
        <v>668</v>
      </c>
      <c r="AI43" s="97">
        <v>500</v>
      </c>
      <c r="AJ43" s="97" t="s">
        <v>369</v>
      </c>
      <c r="AK43" s="97">
        <v>12</v>
      </c>
      <c r="AL43" s="97">
        <v>0</v>
      </c>
      <c r="AM43" s="97">
        <v>60</v>
      </c>
      <c r="AN43" s="97">
        <v>20</v>
      </c>
      <c r="AO43" s="97">
        <v>16</v>
      </c>
      <c r="AP43" s="99">
        <v>0</v>
      </c>
      <c r="AQ43" s="97">
        <v>16</v>
      </c>
      <c r="AR43" s="61">
        <v>21</v>
      </c>
      <c r="AS43" s="60">
        <v>10</v>
      </c>
      <c r="AT43" s="60">
        <v>40</v>
      </c>
      <c r="AU43" s="60">
        <v>4</v>
      </c>
      <c r="AV43" s="60">
        <v>4</v>
      </c>
      <c r="AW43" s="60">
        <v>4</v>
      </c>
      <c r="AX43" s="64">
        <v>0</v>
      </c>
      <c r="AY43" s="60">
        <v>15</v>
      </c>
      <c r="AZ43" s="61">
        <v>15</v>
      </c>
      <c r="BA43" s="60">
        <v>48</v>
      </c>
      <c r="BB43" s="60">
        <v>2</v>
      </c>
      <c r="BC43" s="60" t="e">
        <f>VLOOKUP($B$9,#REF!,2,TRUE)</f>
        <v>#REF!</v>
      </c>
      <c r="BD43" s="60" t="s">
        <v>31</v>
      </c>
      <c r="BE43" s="60"/>
      <c r="BG43" s="48"/>
      <c r="BH43" s="48"/>
      <c r="BI43" s="48"/>
      <c r="BJ43" s="48">
        <v>8</v>
      </c>
      <c r="BK43" s="73">
        <v>8</v>
      </c>
      <c r="BL43" s="48"/>
    </row>
    <row r="44" spans="1:64" s="45" customFormat="1" ht="15.75">
      <c r="A44" s="95">
        <v>450</v>
      </c>
      <c r="B44" s="96" t="s">
        <v>1177</v>
      </c>
      <c r="C44" s="97" t="s">
        <v>1178</v>
      </c>
      <c r="D44" s="97" t="s">
        <v>1179</v>
      </c>
      <c r="E44" s="97" t="s">
        <v>1180</v>
      </c>
      <c r="F44" s="97" t="s">
        <v>234</v>
      </c>
      <c r="G44" s="96" t="s">
        <v>1181</v>
      </c>
      <c r="H44" s="96" t="s">
        <v>123</v>
      </c>
      <c r="I44" s="96" t="s">
        <v>151</v>
      </c>
      <c r="J44" s="96" t="s">
        <v>1182</v>
      </c>
      <c r="K44" s="98" t="s">
        <v>355</v>
      </c>
      <c r="L44" s="97">
        <v>357</v>
      </c>
      <c r="M44" s="96" t="s">
        <v>154</v>
      </c>
      <c r="N44" s="96"/>
      <c r="O44" s="97" t="s">
        <v>284</v>
      </c>
      <c r="P44" s="97" t="s">
        <v>31</v>
      </c>
      <c r="Q44" s="97" t="s">
        <v>28</v>
      </c>
      <c r="R44" s="97" t="s">
        <v>31</v>
      </c>
      <c r="S44" s="97" t="s">
        <v>184</v>
      </c>
      <c r="T44" s="97">
        <v>4</v>
      </c>
      <c r="U44" s="97">
        <v>6</v>
      </c>
      <c r="V44" s="97">
        <v>0</v>
      </c>
      <c r="W44" s="97">
        <v>0</v>
      </c>
      <c r="X44" s="97" t="e">
        <v>#N/A</v>
      </c>
      <c r="Y44" s="97" t="e">
        <v>#N/A</v>
      </c>
      <c r="Z44" s="97" t="e">
        <v>#N/A</v>
      </c>
      <c r="AA44" s="97" t="e">
        <v>#N/A</v>
      </c>
      <c r="AB44" s="97"/>
      <c r="AC44" s="97" t="s">
        <v>157</v>
      </c>
      <c r="AD44" s="97" t="s">
        <v>158</v>
      </c>
      <c r="AE44" s="97" t="s">
        <v>133</v>
      </c>
      <c r="AF44" s="97" t="s">
        <v>134</v>
      </c>
      <c r="AG44" s="97" t="s">
        <v>31</v>
      </c>
      <c r="AH44" s="97">
        <v>668</v>
      </c>
      <c r="AI44" s="97">
        <v>500</v>
      </c>
      <c r="AJ44" s="97" t="s">
        <v>369</v>
      </c>
      <c r="AK44" s="97">
        <v>12</v>
      </c>
      <c r="AL44" s="97">
        <v>0</v>
      </c>
      <c r="AM44" s="97">
        <v>60</v>
      </c>
      <c r="AN44" s="97">
        <v>20</v>
      </c>
      <c r="AO44" s="97">
        <v>16</v>
      </c>
      <c r="AP44" s="97">
        <v>0</v>
      </c>
      <c r="AQ44" s="97">
        <v>16</v>
      </c>
      <c r="AR44" s="63">
        <v>21</v>
      </c>
      <c r="AS44" s="62">
        <v>10</v>
      </c>
      <c r="AT44" s="62">
        <v>40</v>
      </c>
      <c r="AU44" s="62">
        <v>4</v>
      </c>
      <c r="AV44" s="62">
        <v>4</v>
      </c>
      <c r="AW44" s="62">
        <v>4</v>
      </c>
      <c r="AX44" s="62">
        <v>0</v>
      </c>
      <c r="AY44" s="62">
        <v>15</v>
      </c>
      <c r="AZ44" s="63">
        <v>15</v>
      </c>
      <c r="BA44" s="62">
        <v>48</v>
      </c>
      <c r="BB44" s="62">
        <v>2</v>
      </c>
      <c r="BC44" s="62" t="e">
        <f>VLOOKUP($B$9,#REF!,2,TRUE)</f>
        <v>#REF!</v>
      </c>
      <c r="BD44" s="62" t="s">
        <v>31</v>
      </c>
      <c r="BE44" s="62"/>
      <c r="BG44" s="48"/>
      <c r="BH44" s="48"/>
      <c r="BI44" s="48"/>
      <c r="BJ44" s="48">
        <v>8</v>
      </c>
      <c r="BK44" s="73">
        <v>8</v>
      </c>
      <c r="BL44" s="48"/>
    </row>
    <row r="45" spans="1:64" s="45" customFormat="1" ht="15.75">
      <c r="A45" s="95">
        <v>461</v>
      </c>
      <c r="B45" s="96" t="s">
        <v>1189</v>
      </c>
      <c r="C45" s="97" t="s">
        <v>1190</v>
      </c>
      <c r="D45" s="97" t="s">
        <v>1191</v>
      </c>
      <c r="E45" s="97" t="s">
        <v>1192</v>
      </c>
      <c r="F45" s="97" t="s">
        <v>1037</v>
      </c>
      <c r="G45" s="96" t="s">
        <v>1193</v>
      </c>
      <c r="H45" s="96" t="s">
        <v>123</v>
      </c>
      <c r="I45" s="96" t="s">
        <v>124</v>
      </c>
      <c r="J45" s="96" t="s">
        <v>1194</v>
      </c>
      <c r="K45" s="98" t="s">
        <v>307</v>
      </c>
      <c r="L45" s="97">
        <v>357</v>
      </c>
      <c r="M45" s="96" t="s">
        <v>154</v>
      </c>
      <c r="N45" s="96"/>
      <c r="O45" s="97" t="s">
        <v>284</v>
      </c>
      <c r="P45" s="97" t="s">
        <v>31</v>
      </c>
      <c r="Q45" s="97" t="s">
        <v>28</v>
      </c>
      <c r="R45" s="97" t="s">
        <v>31</v>
      </c>
      <c r="S45" s="97" t="s">
        <v>184</v>
      </c>
      <c r="T45" s="97">
        <v>4</v>
      </c>
      <c r="U45" s="97">
        <v>6</v>
      </c>
      <c r="V45" s="97">
        <v>0</v>
      </c>
      <c r="W45" s="97">
        <v>0</v>
      </c>
      <c r="X45" s="97" t="e">
        <v>#N/A</v>
      </c>
      <c r="Y45" s="97" t="e">
        <v>#N/A</v>
      </c>
      <c r="Z45" s="97" t="e">
        <v>#N/A</v>
      </c>
      <c r="AA45" s="97" t="e">
        <v>#N/A</v>
      </c>
      <c r="AB45" s="97"/>
      <c r="AC45" s="97" t="s">
        <v>157</v>
      </c>
      <c r="AD45" s="97" t="s">
        <v>132</v>
      </c>
      <c r="AE45" s="97" t="s">
        <v>133</v>
      </c>
      <c r="AF45" s="97" t="s">
        <v>134</v>
      </c>
      <c r="AG45" s="97" t="s">
        <v>31</v>
      </c>
      <c r="AH45" s="97">
        <v>668</v>
      </c>
      <c r="AI45" s="97"/>
      <c r="AJ45" s="97" t="s">
        <v>135</v>
      </c>
      <c r="AK45" s="97">
        <v>12</v>
      </c>
      <c r="AL45" s="97">
        <v>0</v>
      </c>
      <c r="AM45" s="97">
        <v>60</v>
      </c>
      <c r="AN45" s="97">
        <v>20</v>
      </c>
      <c r="AO45" s="97">
        <v>16</v>
      </c>
      <c r="AP45" s="99">
        <v>0</v>
      </c>
      <c r="AQ45" s="97">
        <v>16</v>
      </c>
      <c r="AR45" s="63">
        <v>21</v>
      </c>
      <c r="AS45" s="62">
        <v>10</v>
      </c>
      <c r="AT45" s="62">
        <v>40</v>
      </c>
      <c r="AU45" s="62">
        <v>4</v>
      </c>
      <c r="AV45" s="62">
        <v>4</v>
      </c>
      <c r="AW45" s="62">
        <v>4</v>
      </c>
      <c r="AX45" s="58">
        <v>0</v>
      </c>
      <c r="AY45" s="62">
        <v>15</v>
      </c>
      <c r="AZ45" s="63">
        <v>15</v>
      </c>
      <c r="BA45" s="62">
        <v>48</v>
      </c>
      <c r="BB45" s="62">
        <v>2</v>
      </c>
      <c r="BC45" s="62" t="e">
        <f>VLOOKUP($B$9,#REF!,2,TRUE)</f>
        <v>#REF!</v>
      </c>
      <c r="BD45" s="62" t="s">
        <v>31</v>
      </c>
      <c r="BE45" s="62"/>
      <c r="BG45" s="48"/>
      <c r="BH45" s="48"/>
      <c r="BI45" s="48"/>
      <c r="BJ45" s="48">
        <v>8</v>
      </c>
      <c r="BK45" s="73">
        <v>8</v>
      </c>
      <c r="BL45" s="48"/>
    </row>
    <row r="46" spans="1:64" s="45" customFormat="1" ht="15.75">
      <c r="A46" s="95">
        <v>440</v>
      </c>
      <c r="B46" s="96" t="s">
        <v>1219</v>
      </c>
      <c r="C46" s="97" t="s">
        <v>1220</v>
      </c>
      <c r="D46" s="97" t="s">
        <v>1221</v>
      </c>
      <c r="E46" s="97" t="s">
        <v>1222</v>
      </c>
      <c r="F46" s="97" t="s">
        <v>837</v>
      </c>
      <c r="G46" s="96" t="s">
        <v>1223</v>
      </c>
      <c r="H46" s="96" t="s">
        <v>123</v>
      </c>
      <c r="I46" s="96" t="s">
        <v>326</v>
      </c>
      <c r="J46" s="96" t="s">
        <v>1224</v>
      </c>
      <c r="K46" s="98" t="s">
        <v>855</v>
      </c>
      <c r="L46" s="97">
        <v>357</v>
      </c>
      <c r="M46" s="96" t="s">
        <v>154</v>
      </c>
      <c r="N46" s="96"/>
      <c r="O46" s="97" t="s">
        <v>284</v>
      </c>
      <c r="P46" s="97" t="s">
        <v>31</v>
      </c>
      <c r="Q46" s="97" t="s">
        <v>28</v>
      </c>
      <c r="R46" s="97" t="s">
        <v>31</v>
      </c>
      <c r="S46" s="97" t="s">
        <v>184</v>
      </c>
      <c r="T46" s="97">
        <v>4</v>
      </c>
      <c r="U46" s="97">
        <v>6</v>
      </c>
      <c r="V46" s="97">
        <v>0</v>
      </c>
      <c r="W46" s="97">
        <v>0</v>
      </c>
      <c r="X46" s="97" t="e">
        <v>#N/A</v>
      </c>
      <c r="Y46" s="97" t="e">
        <v>#N/A</v>
      </c>
      <c r="Z46" s="97" t="e">
        <v>#N/A</v>
      </c>
      <c r="AA46" s="97" t="e">
        <v>#N/A</v>
      </c>
      <c r="AB46" s="97"/>
      <c r="AC46" s="97" t="s">
        <v>157</v>
      </c>
      <c r="AD46" s="97" t="s">
        <v>132</v>
      </c>
      <c r="AE46" s="97" t="s">
        <v>169</v>
      </c>
      <c r="AF46" s="97" t="s">
        <v>329</v>
      </c>
      <c r="AG46" s="97" t="s">
        <v>31</v>
      </c>
      <c r="AH46" s="97">
        <v>668</v>
      </c>
      <c r="AI46" s="97"/>
      <c r="AJ46" s="97" t="s">
        <v>135</v>
      </c>
      <c r="AK46" s="97">
        <v>12</v>
      </c>
      <c r="AL46" s="97">
        <v>0</v>
      </c>
      <c r="AM46" s="97">
        <v>60</v>
      </c>
      <c r="AN46" s="97">
        <v>20</v>
      </c>
      <c r="AO46" s="97">
        <v>16</v>
      </c>
      <c r="AP46" s="97">
        <v>0</v>
      </c>
      <c r="AQ46" s="97">
        <v>16</v>
      </c>
      <c r="AR46" s="61">
        <v>21</v>
      </c>
      <c r="AS46" s="60">
        <v>10</v>
      </c>
      <c r="AT46" s="60">
        <v>40</v>
      </c>
      <c r="AU46" s="60">
        <v>4</v>
      </c>
      <c r="AV46" s="60">
        <v>4</v>
      </c>
      <c r="AW46" s="60">
        <v>4</v>
      </c>
      <c r="AX46" s="60">
        <v>0</v>
      </c>
      <c r="AY46" s="60">
        <v>15</v>
      </c>
      <c r="AZ46" s="61">
        <v>15</v>
      </c>
      <c r="BA46" s="60">
        <v>48</v>
      </c>
      <c r="BB46" s="60">
        <v>2</v>
      </c>
      <c r="BC46" s="60" t="e">
        <f>VLOOKUP($B$9,#REF!,2,TRUE)</f>
        <v>#REF!</v>
      </c>
      <c r="BD46" s="60" t="s">
        <v>31</v>
      </c>
      <c r="BE46" s="60"/>
      <c r="BG46" s="48"/>
      <c r="BH46" s="48"/>
      <c r="BI46" s="48"/>
      <c r="BJ46" s="48">
        <v>8</v>
      </c>
      <c r="BK46" s="73">
        <v>8</v>
      </c>
      <c r="BL46" s="48"/>
    </row>
    <row r="47" spans="1:64" s="45" customFormat="1" ht="15.75">
      <c r="A47" s="95">
        <v>441</v>
      </c>
      <c r="B47" s="96" t="s">
        <v>1225</v>
      </c>
      <c r="C47" s="97" t="s">
        <v>1226</v>
      </c>
      <c r="D47" s="97" t="s">
        <v>1227</v>
      </c>
      <c r="E47" s="97" t="s">
        <v>1228</v>
      </c>
      <c r="F47" s="97" t="s">
        <v>616</v>
      </c>
      <c r="G47" s="96" t="s">
        <v>1229</v>
      </c>
      <c r="H47" s="96" t="s">
        <v>123</v>
      </c>
      <c r="I47" s="96" t="s">
        <v>151</v>
      </c>
      <c r="J47" s="96" t="s">
        <v>1230</v>
      </c>
      <c r="K47" s="98" t="s">
        <v>619</v>
      </c>
      <c r="L47" s="97">
        <v>357</v>
      </c>
      <c r="M47" s="96" t="s">
        <v>154</v>
      </c>
      <c r="N47" s="96"/>
      <c r="O47" s="97" t="s">
        <v>128</v>
      </c>
      <c r="P47" s="97" t="s">
        <v>31</v>
      </c>
      <c r="Q47" s="97" t="s">
        <v>31</v>
      </c>
      <c r="R47" s="97" t="s">
        <v>31</v>
      </c>
      <c r="S47" s="97" t="s">
        <v>184</v>
      </c>
      <c r="T47" s="97">
        <v>4</v>
      </c>
      <c r="U47" s="97">
        <v>6</v>
      </c>
      <c r="V47" s="97">
        <v>0</v>
      </c>
      <c r="W47" s="97">
        <v>0</v>
      </c>
      <c r="X47" s="97" t="e">
        <v>#N/A</v>
      </c>
      <c r="Y47" s="97" t="e">
        <v>#N/A</v>
      </c>
      <c r="Z47" s="97" t="e">
        <v>#N/A</v>
      </c>
      <c r="AA47" s="97" t="e">
        <v>#N/A</v>
      </c>
      <c r="AB47" s="97"/>
      <c r="AC47" s="97" t="s">
        <v>157</v>
      </c>
      <c r="AD47" s="97" t="s">
        <v>132</v>
      </c>
      <c r="AE47" s="97" t="s">
        <v>133</v>
      </c>
      <c r="AF47" s="97" t="s">
        <v>134</v>
      </c>
      <c r="AG47" s="97" t="s">
        <v>31</v>
      </c>
      <c r="AH47" s="97">
        <v>668</v>
      </c>
      <c r="AI47" s="97"/>
      <c r="AJ47" s="97" t="s">
        <v>135</v>
      </c>
      <c r="AK47" s="97">
        <v>12</v>
      </c>
      <c r="AL47" s="97">
        <v>0</v>
      </c>
      <c r="AM47" s="97">
        <v>60</v>
      </c>
      <c r="AN47" s="97">
        <v>20</v>
      </c>
      <c r="AO47" s="97">
        <v>16</v>
      </c>
      <c r="AP47" s="99">
        <v>0</v>
      </c>
      <c r="AQ47" s="97">
        <v>16</v>
      </c>
      <c r="AR47" s="63">
        <v>21</v>
      </c>
      <c r="AS47" s="62">
        <v>10</v>
      </c>
      <c r="AT47" s="62">
        <v>40</v>
      </c>
      <c r="AU47" s="62">
        <v>4</v>
      </c>
      <c r="AV47" s="62">
        <v>4</v>
      </c>
      <c r="AW47" s="62">
        <v>4</v>
      </c>
      <c r="AX47" s="58">
        <v>0</v>
      </c>
      <c r="AY47" s="62">
        <v>15</v>
      </c>
      <c r="AZ47" s="63">
        <v>15</v>
      </c>
      <c r="BA47" s="62">
        <v>48</v>
      </c>
      <c r="BB47" s="62">
        <v>2</v>
      </c>
      <c r="BC47" s="62" t="e">
        <f>VLOOKUP($B$9,#REF!,2,TRUE)</f>
        <v>#REF!</v>
      </c>
      <c r="BD47" s="62" t="s">
        <v>31</v>
      </c>
      <c r="BE47" s="62"/>
      <c r="BG47" s="48"/>
      <c r="BH47" s="48"/>
      <c r="BI47" s="48"/>
      <c r="BJ47" s="48">
        <v>8</v>
      </c>
      <c r="BK47" s="73">
        <v>8</v>
      </c>
      <c r="BL47" s="48"/>
    </row>
    <row r="48" spans="1:64" s="45" customFormat="1" ht="15.75">
      <c r="A48" s="95">
        <v>466</v>
      </c>
      <c r="B48" s="96" t="s">
        <v>1231</v>
      </c>
      <c r="C48" s="97" t="s">
        <v>1232</v>
      </c>
      <c r="D48" s="97" t="s">
        <v>1233</v>
      </c>
      <c r="E48" s="97" t="s">
        <v>1234</v>
      </c>
      <c r="F48" s="97" t="s">
        <v>656</v>
      </c>
      <c r="G48" s="96" t="s">
        <v>1235</v>
      </c>
      <c r="H48" s="96" t="s">
        <v>123</v>
      </c>
      <c r="I48" s="96" t="s">
        <v>401</v>
      </c>
      <c r="J48" s="96" t="s">
        <v>1236</v>
      </c>
      <c r="K48" s="98" t="s">
        <v>701</v>
      </c>
      <c r="L48" s="97">
        <v>357</v>
      </c>
      <c r="M48" s="96" t="s">
        <v>154</v>
      </c>
      <c r="N48" s="96"/>
      <c r="O48" s="97" t="s">
        <v>284</v>
      </c>
      <c r="P48" s="97" t="s">
        <v>31</v>
      </c>
      <c r="Q48" s="97" t="s">
        <v>28</v>
      </c>
      <c r="R48" s="97" t="s">
        <v>31</v>
      </c>
      <c r="S48" s="97" t="s">
        <v>184</v>
      </c>
      <c r="T48" s="97">
        <v>4</v>
      </c>
      <c r="U48" s="97">
        <v>6</v>
      </c>
      <c r="V48" s="97">
        <v>0</v>
      </c>
      <c r="W48" s="97">
        <v>0</v>
      </c>
      <c r="X48" s="97" t="e">
        <v>#N/A</v>
      </c>
      <c r="Y48" s="97" t="e">
        <v>#N/A</v>
      </c>
      <c r="Z48" s="97" t="e">
        <v>#N/A</v>
      </c>
      <c r="AA48" s="97" t="e">
        <v>#N/A</v>
      </c>
      <c r="AB48" s="97"/>
      <c r="AC48" s="97" t="s">
        <v>157</v>
      </c>
      <c r="AD48" s="97" t="s">
        <v>132</v>
      </c>
      <c r="AE48" s="97" t="s">
        <v>133</v>
      </c>
      <c r="AF48" s="97" t="s">
        <v>134</v>
      </c>
      <c r="AG48" s="97" t="s">
        <v>31</v>
      </c>
      <c r="AH48" s="97">
        <v>668</v>
      </c>
      <c r="AI48" s="97"/>
      <c r="AJ48" s="97" t="s">
        <v>135</v>
      </c>
      <c r="AK48" s="97">
        <v>12</v>
      </c>
      <c r="AL48" s="97">
        <v>0</v>
      </c>
      <c r="AM48" s="97">
        <v>60</v>
      </c>
      <c r="AN48" s="97">
        <v>20</v>
      </c>
      <c r="AO48" s="97">
        <v>16</v>
      </c>
      <c r="AP48" s="97">
        <v>0</v>
      </c>
      <c r="AQ48" s="97">
        <v>16</v>
      </c>
      <c r="AR48" s="61">
        <v>21</v>
      </c>
      <c r="AS48" s="60">
        <v>10</v>
      </c>
      <c r="AT48" s="60">
        <v>40</v>
      </c>
      <c r="AU48" s="60">
        <v>4</v>
      </c>
      <c r="AV48" s="60">
        <v>4</v>
      </c>
      <c r="AW48" s="60">
        <v>4</v>
      </c>
      <c r="AX48" s="60">
        <v>0</v>
      </c>
      <c r="AY48" s="60">
        <v>15</v>
      </c>
      <c r="AZ48" s="61">
        <v>15</v>
      </c>
      <c r="BA48" s="60">
        <v>48</v>
      </c>
      <c r="BB48" s="60">
        <v>2</v>
      </c>
      <c r="BC48" s="60" t="e">
        <f>VLOOKUP($B$9,#REF!,2,TRUE)</f>
        <v>#REF!</v>
      </c>
      <c r="BD48" s="60" t="s">
        <v>31</v>
      </c>
      <c r="BE48" s="60"/>
      <c r="BG48" s="48"/>
      <c r="BH48" s="48"/>
      <c r="BI48" s="48"/>
      <c r="BJ48" s="48">
        <v>8</v>
      </c>
      <c r="BK48" s="73">
        <v>8</v>
      </c>
      <c r="BL48" s="48"/>
    </row>
    <row r="49" spans="1:64" s="45" customFormat="1" ht="15.75">
      <c r="A49" s="95">
        <v>449</v>
      </c>
      <c r="B49" s="96" t="s">
        <v>1250</v>
      </c>
      <c r="C49" s="97" t="s">
        <v>1251</v>
      </c>
      <c r="D49" s="97" t="s">
        <v>1252</v>
      </c>
      <c r="E49" s="97" t="s">
        <v>1253</v>
      </c>
      <c r="F49" s="97" t="s">
        <v>873</v>
      </c>
      <c r="G49" s="96" t="s">
        <v>1254</v>
      </c>
      <c r="H49" s="96" t="s">
        <v>123</v>
      </c>
      <c r="I49" s="96" t="s">
        <v>401</v>
      </c>
      <c r="J49" s="96" t="s">
        <v>1255</v>
      </c>
      <c r="K49" s="98" t="s">
        <v>701</v>
      </c>
      <c r="L49" s="97">
        <v>357</v>
      </c>
      <c r="M49" s="96" t="s">
        <v>154</v>
      </c>
      <c r="N49" s="96"/>
      <c r="O49" s="97" t="s">
        <v>284</v>
      </c>
      <c r="P49" s="97" t="s">
        <v>31</v>
      </c>
      <c r="Q49" s="97" t="s">
        <v>28</v>
      </c>
      <c r="R49" s="97" t="s">
        <v>31</v>
      </c>
      <c r="S49" s="97" t="s">
        <v>184</v>
      </c>
      <c r="T49" s="97">
        <v>4</v>
      </c>
      <c r="U49" s="97">
        <v>6</v>
      </c>
      <c r="V49" s="97">
        <v>0</v>
      </c>
      <c r="W49" s="97">
        <v>0</v>
      </c>
      <c r="X49" s="97" t="e">
        <v>#N/A</v>
      </c>
      <c r="Y49" s="97" t="e">
        <v>#N/A</v>
      </c>
      <c r="Z49" s="97" t="e">
        <v>#N/A</v>
      </c>
      <c r="AA49" s="97" t="e">
        <v>#N/A</v>
      </c>
      <c r="AB49" s="97"/>
      <c r="AC49" s="97" t="s">
        <v>157</v>
      </c>
      <c r="AD49" s="97" t="s">
        <v>132</v>
      </c>
      <c r="AE49" s="97" t="s">
        <v>133</v>
      </c>
      <c r="AF49" s="97" t="s">
        <v>329</v>
      </c>
      <c r="AG49" s="97" t="s">
        <v>31</v>
      </c>
      <c r="AH49" s="97">
        <v>668</v>
      </c>
      <c r="AI49" s="97"/>
      <c r="AJ49" s="97" t="s">
        <v>135</v>
      </c>
      <c r="AK49" s="97">
        <v>12</v>
      </c>
      <c r="AL49" s="97">
        <v>0</v>
      </c>
      <c r="AM49" s="97">
        <v>60</v>
      </c>
      <c r="AN49" s="97">
        <v>20</v>
      </c>
      <c r="AO49" s="97">
        <v>16</v>
      </c>
      <c r="AP49" s="99">
        <v>0</v>
      </c>
      <c r="AQ49" s="97">
        <v>16</v>
      </c>
      <c r="AR49" s="63">
        <v>21</v>
      </c>
      <c r="AS49" s="62">
        <v>10</v>
      </c>
      <c r="AT49" s="62">
        <v>40</v>
      </c>
      <c r="AU49" s="62">
        <v>4</v>
      </c>
      <c r="AV49" s="62">
        <v>4</v>
      </c>
      <c r="AW49" s="62">
        <v>4</v>
      </c>
      <c r="AX49" s="58">
        <v>0</v>
      </c>
      <c r="AY49" s="62">
        <v>15</v>
      </c>
      <c r="AZ49" s="63">
        <v>15</v>
      </c>
      <c r="BA49" s="62">
        <v>48</v>
      </c>
      <c r="BB49" s="62">
        <v>2</v>
      </c>
      <c r="BC49" s="62" t="e">
        <f>VLOOKUP($B$9,#REF!,2,TRUE)</f>
        <v>#REF!</v>
      </c>
      <c r="BD49" s="62" t="s">
        <v>31</v>
      </c>
      <c r="BE49" s="62"/>
      <c r="BG49" s="48"/>
      <c r="BH49" s="48"/>
      <c r="BI49" s="48"/>
      <c r="BJ49" s="48">
        <v>8</v>
      </c>
      <c r="BK49" s="73">
        <v>8</v>
      </c>
      <c r="BL49" s="48"/>
    </row>
    <row r="50" spans="1:64" s="45" customFormat="1" ht="15.75">
      <c r="A50" s="95">
        <v>56</v>
      </c>
      <c r="B50" s="96" t="s">
        <v>342</v>
      </c>
      <c r="C50" s="97" t="s">
        <v>343</v>
      </c>
      <c r="D50" s="97" t="s">
        <v>344</v>
      </c>
      <c r="E50" s="97" t="s">
        <v>345</v>
      </c>
      <c r="F50" s="97" t="s">
        <v>259</v>
      </c>
      <c r="G50" s="96" t="s">
        <v>346</v>
      </c>
      <c r="H50" s="96" t="s">
        <v>123</v>
      </c>
      <c r="I50" s="96" t="s">
        <v>151</v>
      </c>
      <c r="J50" s="96" t="s">
        <v>347</v>
      </c>
      <c r="K50" s="98" t="s">
        <v>262</v>
      </c>
      <c r="L50" s="97">
        <v>359</v>
      </c>
      <c r="M50" s="96" t="s">
        <v>154</v>
      </c>
      <c r="N50" s="96"/>
      <c r="O50" s="97" t="s">
        <v>155</v>
      </c>
      <c r="P50" s="97" t="s">
        <v>28</v>
      </c>
      <c r="Q50" s="97" t="s">
        <v>31</v>
      </c>
      <c r="R50" s="97" t="s">
        <v>28</v>
      </c>
      <c r="S50" s="97" t="s">
        <v>177</v>
      </c>
      <c r="T50" s="97">
        <v>3</v>
      </c>
      <c r="U50" s="97">
        <v>7</v>
      </c>
      <c r="V50" s="97">
        <v>0</v>
      </c>
      <c r="W50" s="97">
        <v>2</v>
      </c>
      <c r="X50" s="97" t="s">
        <v>168</v>
      </c>
      <c r="Y50" s="97" t="s">
        <v>168</v>
      </c>
      <c r="Z50" s="97" t="e">
        <v>#N/A</v>
      </c>
      <c r="AA50" s="97" t="e">
        <v>#N/A</v>
      </c>
      <c r="AB50" s="97"/>
      <c r="AC50" s="97" t="s">
        <v>157</v>
      </c>
      <c r="AD50" s="97" t="s">
        <v>132</v>
      </c>
      <c r="AE50" s="97" t="s">
        <v>133</v>
      </c>
      <c r="AF50" s="97" t="s">
        <v>134</v>
      </c>
      <c r="AG50" s="97" t="s">
        <v>31</v>
      </c>
      <c r="AH50" s="97">
        <v>701</v>
      </c>
      <c r="AI50" s="97">
        <v>700</v>
      </c>
      <c r="AJ50" s="97">
        <v>900</v>
      </c>
      <c r="AK50" s="97">
        <v>14</v>
      </c>
      <c r="AL50" s="97">
        <v>0</v>
      </c>
      <c r="AM50" s="97">
        <v>70</v>
      </c>
      <c r="AN50" s="97">
        <v>15</v>
      </c>
      <c r="AO50" s="97">
        <v>12</v>
      </c>
      <c r="AP50" s="97">
        <v>0</v>
      </c>
      <c r="AQ50" s="97">
        <v>16</v>
      </c>
      <c r="AR50" s="61">
        <v>22</v>
      </c>
      <c r="AS50" s="60">
        <v>10</v>
      </c>
      <c r="AT50" s="60">
        <v>40</v>
      </c>
      <c r="AU50" s="60">
        <v>4</v>
      </c>
      <c r="AV50" s="60">
        <v>4</v>
      </c>
      <c r="AW50" s="60">
        <v>4</v>
      </c>
      <c r="AX50" s="60">
        <v>0</v>
      </c>
      <c r="AY50" s="60">
        <v>15</v>
      </c>
      <c r="AZ50" s="61">
        <v>15</v>
      </c>
      <c r="BA50" s="60">
        <v>48</v>
      </c>
      <c r="BB50" s="60">
        <v>2</v>
      </c>
      <c r="BC50" s="60" t="e">
        <f>VLOOKUP($B$9,#REF!,2,TRUE)</f>
        <v>#REF!</v>
      </c>
      <c r="BD50" s="60" t="s">
        <v>31</v>
      </c>
      <c r="BE50" s="60"/>
      <c r="BG50" s="48"/>
      <c r="BH50" s="48"/>
      <c r="BI50" s="48"/>
      <c r="BJ50" s="48">
        <v>8</v>
      </c>
      <c r="BK50" s="73">
        <v>8</v>
      </c>
      <c r="BL50" s="48"/>
    </row>
    <row r="51" spans="1:64" s="45" customFormat="1" ht="15.75">
      <c r="A51" s="95">
        <v>85</v>
      </c>
      <c r="B51" s="96" t="s">
        <v>440</v>
      </c>
      <c r="C51" s="97" t="s">
        <v>441</v>
      </c>
      <c r="D51" s="97" t="s">
        <v>442</v>
      </c>
      <c r="E51" s="97" t="s">
        <v>443</v>
      </c>
      <c r="F51" s="97" t="s">
        <v>137</v>
      </c>
      <c r="G51" s="96" t="s">
        <v>444</v>
      </c>
      <c r="H51" s="96" t="s">
        <v>123</v>
      </c>
      <c r="I51" s="96" t="s">
        <v>326</v>
      </c>
      <c r="J51" s="96" t="s">
        <v>445</v>
      </c>
      <c r="K51" s="98" t="s">
        <v>446</v>
      </c>
      <c r="L51" s="97">
        <v>465</v>
      </c>
      <c r="M51" s="96" t="s">
        <v>154</v>
      </c>
      <c r="N51" s="96"/>
      <c r="O51" s="97" t="s">
        <v>128</v>
      </c>
      <c r="P51" s="97" t="s">
        <v>31</v>
      </c>
      <c r="Q51" s="97" t="s">
        <v>28</v>
      </c>
      <c r="R51" s="97" t="s">
        <v>31</v>
      </c>
      <c r="S51" s="97" t="s">
        <v>177</v>
      </c>
      <c r="T51" s="97">
        <v>3</v>
      </c>
      <c r="U51" s="97">
        <v>7</v>
      </c>
      <c r="V51" s="97">
        <v>0</v>
      </c>
      <c r="W51" s="97">
        <v>2</v>
      </c>
      <c r="X51" s="97" t="s">
        <v>168</v>
      </c>
      <c r="Y51" s="97" t="s">
        <v>168</v>
      </c>
      <c r="Z51" s="97" t="e">
        <v>#N/A</v>
      </c>
      <c r="AA51" s="97" t="e">
        <v>#N/A</v>
      </c>
      <c r="AB51" s="97"/>
      <c r="AC51" s="97" t="s">
        <v>157</v>
      </c>
      <c r="AD51" s="97" t="s">
        <v>132</v>
      </c>
      <c r="AE51" s="97" t="s">
        <v>133</v>
      </c>
      <c r="AF51" s="97" t="s">
        <v>329</v>
      </c>
      <c r="AG51" s="97" t="s">
        <v>31</v>
      </c>
      <c r="AH51" s="97">
        <v>701</v>
      </c>
      <c r="AI51" s="97">
        <v>500</v>
      </c>
      <c r="AJ51" s="97" t="s">
        <v>369</v>
      </c>
      <c r="AK51" s="97">
        <v>14</v>
      </c>
      <c r="AL51" s="97">
        <v>0</v>
      </c>
      <c r="AM51" s="97">
        <v>70</v>
      </c>
      <c r="AN51" s="97">
        <v>15</v>
      </c>
      <c r="AO51" s="97">
        <v>12</v>
      </c>
      <c r="AP51" s="99">
        <v>0</v>
      </c>
      <c r="AQ51" s="97">
        <v>16</v>
      </c>
      <c r="AR51" s="63">
        <v>22</v>
      </c>
      <c r="AS51" s="62">
        <v>10</v>
      </c>
      <c r="AT51" s="62">
        <v>40</v>
      </c>
      <c r="AU51" s="62">
        <v>4</v>
      </c>
      <c r="AV51" s="62">
        <v>4</v>
      </c>
      <c r="AW51" s="62">
        <v>4</v>
      </c>
      <c r="AX51" s="58">
        <v>0</v>
      </c>
      <c r="AY51" s="62">
        <v>15</v>
      </c>
      <c r="AZ51" s="63">
        <v>15</v>
      </c>
      <c r="BA51" s="62">
        <v>48</v>
      </c>
      <c r="BB51" s="62">
        <v>2</v>
      </c>
      <c r="BC51" s="62" t="e">
        <f>VLOOKUP($B$9,#REF!,2,TRUE)</f>
        <v>#REF!</v>
      </c>
      <c r="BD51" s="62" t="s">
        <v>31</v>
      </c>
      <c r="BE51" s="62"/>
      <c r="BG51" s="48"/>
      <c r="BH51" s="48"/>
      <c r="BI51" s="48"/>
      <c r="BJ51" s="48">
        <v>8</v>
      </c>
      <c r="BK51" s="73">
        <v>8</v>
      </c>
      <c r="BL51" s="48"/>
    </row>
    <row r="52" spans="1:64" s="45" customFormat="1" ht="15.75">
      <c r="A52" s="95">
        <v>37</v>
      </c>
      <c r="B52" s="96" t="s">
        <v>447</v>
      </c>
      <c r="C52" s="97" t="s">
        <v>448</v>
      </c>
      <c r="D52" s="97" t="s">
        <v>449</v>
      </c>
      <c r="E52" s="97" t="s">
        <v>450</v>
      </c>
      <c r="F52" s="97" t="s">
        <v>217</v>
      </c>
      <c r="G52" s="96" t="s">
        <v>451</v>
      </c>
      <c r="H52" s="96" t="s">
        <v>123</v>
      </c>
      <c r="I52" s="96" t="s">
        <v>124</v>
      </c>
      <c r="J52" s="96" t="s">
        <v>452</v>
      </c>
      <c r="K52" s="98" t="s">
        <v>246</v>
      </c>
      <c r="L52" s="97">
        <v>461</v>
      </c>
      <c r="M52" s="96" t="s">
        <v>154</v>
      </c>
      <c r="N52" s="96"/>
      <c r="O52" s="97" t="s">
        <v>128</v>
      </c>
      <c r="P52" s="97" t="s">
        <v>31</v>
      </c>
      <c r="Q52" s="97" t="s">
        <v>31</v>
      </c>
      <c r="R52" s="97" t="s">
        <v>28</v>
      </c>
      <c r="S52" s="97" t="s">
        <v>177</v>
      </c>
      <c r="T52" s="97">
        <v>3</v>
      </c>
      <c r="U52" s="97">
        <v>7</v>
      </c>
      <c r="V52" s="97">
        <v>0</v>
      </c>
      <c r="W52" s="97">
        <v>2</v>
      </c>
      <c r="X52" s="97" t="s">
        <v>168</v>
      </c>
      <c r="Y52" s="97" t="s">
        <v>168</v>
      </c>
      <c r="Z52" s="97" t="e">
        <v>#N/A</v>
      </c>
      <c r="AA52" s="97" t="e">
        <v>#N/A</v>
      </c>
      <c r="AB52" s="97"/>
      <c r="AC52" s="97" t="s">
        <v>157</v>
      </c>
      <c r="AD52" s="97" t="s">
        <v>132</v>
      </c>
      <c r="AE52" s="97" t="s">
        <v>133</v>
      </c>
      <c r="AF52" s="97" t="s">
        <v>134</v>
      </c>
      <c r="AG52" s="97" t="s">
        <v>31</v>
      </c>
      <c r="AH52" s="97">
        <v>781</v>
      </c>
      <c r="AI52" s="97">
        <v>500</v>
      </c>
      <c r="AJ52" s="97" t="s">
        <v>369</v>
      </c>
      <c r="AK52" s="97">
        <v>14</v>
      </c>
      <c r="AL52" s="97">
        <v>0</v>
      </c>
      <c r="AM52" s="97">
        <v>70</v>
      </c>
      <c r="AN52" s="97">
        <v>15</v>
      </c>
      <c r="AO52" s="97">
        <v>12</v>
      </c>
      <c r="AP52" s="97">
        <v>0</v>
      </c>
      <c r="AQ52" s="97">
        <v>16</v>
      </c>
      <c r="AR52" s="61">
        <v>22</v>
      </c>
      <c r="AS52" s="60">
        <v>10</v>
      </c>
      <c r="AT52" s="60">
        <v>40</v>
      </c>
      <c r="AU52" s="60">
        <v>4</v>
      </c>
      <c r="AV52" s="60">
        <v>4</v>
      </c>
      <c r="AW52" s="60">
        <v>4</v>
      </c>
      <c r="AX52" s="60">
        <v>0</v>
      </c>
      <c r="AY52" s="60">
        <v>15</v>
      </c>
      <c r="AZ52" s="61">
        <v>15</v>
      </c>
      <c r="BA52" s="60">
        <v>48</v>
      </c>
      <c r="BB52" s="60">
        <v>2</v>
      </c>
      <c r="BC52" s="60" t="e">
        <f>VLOOKUP($B$9,#REF!,2,TRUE)</f>
        <v>#REF!</v>
      </c>
      <c r="BD52" s="60" t="s">
        <v>31</v>
      </c>
      <c r="BE52" s="60"/>
      <c r="BG52" s="48"/>
      <c r="BH52" s="48"/>
      <c r="BI52" s="48"/>
      <c r="BJ52" s="48">
        <v>8</v>
      </c>
      <c r="BK52" s="73">
        <v>8</v>
      </c>
      <c r="BL52" s="48"/>
    </row>
    <row r="53" spans="1:64" s="45" customFormat="1" ht="15.75">
      <c r="A53" s="95">
        <v>52</v>
      </c>
      <c r="B53" s="96" t="s">
        <v>459</v>
      </c>
      <c r="C53" s="97" t="s">
        <v>460</v>
      </c>
      <c r="D53" s="97" t="s">
        <v>461</v>
      </c>
      <c r="E53" s="97" t="s">
        <v>462</v>
      </c>
      <c r="F53" s="97" t="s">
        <v>366</v>
      </c>
      <c r="G53" s="96" t="s">
        <v>463</v>
      </c>
      <c r="H53" s="96" t="s">
        <v>123</v>
      </c>
      <c r="I53" s="96" t="s">
        <v>124</v>
      </c>
      <c r="J53" s="96" t="s">
        <v>464</v>
      </c>
      <c r="K53" s="98" t="s">
        <v>191</v>
      </c>
      <c r="L53" s="97">
        <v>404</v>
      </c>
      <c r="M53" s="96" t="s">
        <v>154</v>
      </c>
      <c r="N53" s="96"/>
      <c r="O53" s="97" t="s">
        <v>155</v>
      </c>
      <c r="P53" s="97" t="s">
        <v>28</v>
      </c>
      <c r="Q53" s="97" t="s">
        <v>31</v>
      </c>
      <c r="R53" s="97" t="s">
        <v>31</v>
      </c>
      <c r="S53" s="97" t="s">
        <v>177</v>
      </c>
      <c r="T53" s="97">
        <v>3</v>
      </c>
      <c r="U53" s="97">
        <v>7</v>
      </c>
      <c r="V53" s="97">
        <v>0</v>
      </c>
      <c r="W53" s="97">
        <v>2</v>
      </c>
      <c r="X53" s="97" t="s">
        <v>168</v>
      </c>
      <c r="Y53" s="97" t="s">
        <v>168</v>
      </c>
      <c r="Z53" s="97" t="e">
        <v>#N/A</v>
      </c>
      <c r="AA53" s="97" t="e">
        <v>#N/A</v>
      </c>
      <c r="AB53" s="97"/>
      <c r="AC53" s="97" t="s">
        <v>157</v>
      </c>
      <c r="AD53" s="97" t="s">
        <v>132</v>
      </c>
      <c r="AE53" s="97" t="s">
        <v>133</v>
      </c>
      <c r="AF53" s="97" t="s">
        <v>134</v>
      </c>
      <c r="AG53" s="97" t="s">
        <v>31</v>
      </c>
      <c r="AH53" s="97">
        <v>701</v>
      </c>
      <c r="AI53" s="97">
        <v>500</v>
      </c>
      <c r="AJ53" s="97" t="s">
        <v>369</v>
      </c>
      <c r="AK53" s="97">
        <v>14</v>
      </c>
      <c r="AL53" s="97">
        <v>0</v>
      </c>
      <c r="AM53" s="97">
        <v>70</v>
      </c>
      <c r="AN53" s="97">
        <v>15</v>
      </c>
      <c r="AO53" s="97">
        <v>12</v>
      </c>
      <c r="AP53" s="99">
        <v>0</v>
      </c>
      <c r="AQ53" s="97">
        <v>16</v>
      </c>
      <c r="AR53" s="61">
        <v>22</v>
      </c>
      <c r="AS53" s="60">
        <v>10</v>
      </c>
      <c r="AT53" s="60">
        <v>40</v>
      </c>
      <c r="AU53" s="60">
        <v>4</v>
      </c>
      <c r="AV53" s="60">
        <v>4</v>
      </c>
      <c r="AW53" s="60">
        <v>4</v>
      </c>
      <c r="AX53" s="64">
        <v>0</v>
      </c>
      <c r="AY53" s="60">
        <v>15</v>
      </c>
      <c r="AZ53" s="61">
        <v>15</v>
      </c>
      <c r="BA53" s="60">
        <v>48</v>
      </c>
      <c r="BB53" s="60">
        <v>2</v>
      </c>
      <c r="BC53" s="60" t="e">
        <f>VLOOKUP($B$9,#REF!,2,TRUE)</f>
        <v>#REF!</v>
      </c>
      <c r="BD53" s="60" t="s">
        <v>31</v>
      </c>
      <c r="BE53" s="60"/>
      <c r="BG53" s="48"/>
      <c r="BH53" s="48"/>
      <c r="BI53" s="48"/>
      <c r="BJ53" s="48">
        <v>8</v>
      </c>
      <c r="BK53" s="73">
        <v>8</v>
      </c>
      <c r="BL53" s="48"/>
    </row>
    <row r="54" spans="1:64" s="45" customFormat="1" ht="15.75">
      <c r="A54" s="95">
        <v>6</v>
      </c>
      <c r="B54" s="96" t="s">
        <v>660</v>
      </c>
      <c r="C54" s="97" t="s">
        <v>661</v>
      </c>
      <c r="D54" s="97" t="s">
        <v>662</v>
      </c>
      <c r="E54" s="97" t="s">
        <v>663</v>
      </c>
      <c r="F54" s="97" t="s">
        <v>616</v>
      </c>
      <c r="G54" s="96" t="s">
        <v>664</v>
      </c>
      <c r="H54" s="96" t="s">
        <v>123</v>
      </c>
      <c r="I54" s="96" t="s">
        <v>151</v>
      </c>
      <c r="J54" s="96" t="s">
        <v>665</v>
      </c>
      <c r="K54" s="98" t="s">
        <v>619</v>
      </c>
      <c r="L54" s="97">
        <v>490</v>
      </c>
      <c r="M54" s="96" t="s">
        <v>154</v>
      </c>
      <c r="N54" s="96"/>
      <c r="O54" s="97" t="s">
        <v>128</v>
      </c>
      <c r="P54" s="97" t="s">
        <v>31</v>
      </c>
      <c r="Q54" s="97" t="s">
        <v>31</v>
      </c>
      <c r="R54" s="97" t="s">
        <v>31</v>
      </c>
      <c r="S54" s="97" t="s">
        <v>184</v>
      </c>
      <c r="T54" s="97">
        <v>4</v>
      </c>
      <c r="U54" s="97">
        <v>7</v>
      </c>
      <c r="V54" s="97">
        <v>0</v>
      </c>
      <c r="W54" s="97">
        <v>2</v>
      </c>
      <c r="X54" s="97" t="s">
        <v>168</v>
      </c>
      <c r="Y54" s="97" t="s">
        <v>168</v>
      </c>
      <c r="Z54" s="97" t="e">
        <v>#N/A</v>
      </c>
      <c r="AA54" s="97" t="e">
        <v>#N/A</v>
      </c>
      <c r="AB54" s="97"/>
      <c r="AC54" s="97" t="s">
        <v>157</v>
      </c>
      <c r="AD54" s="97" t="s">
        <v>132</v>
      </c>
      <c r="AE54" s="97" t="s">
        <v>133</v>
      </c>
      <c r="AF54" s="97" t="s">
        <v>134</v>
      </c>
      <c r="AG54" s="97" t="s">
        <v>31</v>
      </c>
      <c r="AH54" s="97">
        <v>748</v>
      </c>
      <c r="AI54" s="97">
        <v>500</v>
      </c>
      <c r="AJ54" s="97" t="s">
        <v>369</v>
      </c>
      <c r="AK54" s="97">
        <v>14</v>
      </c>
      <c r="AL54" s="97">
        <v>0</v>
      </c>
      <c r="AM54" s="97">
        <v>70</v>
      </c>
      <c r="AN54" s="97">
        <v>20</v>
      </c>
      <c r="AO54" s="97">
        <v>16</v>
      </c>
      <c r="AP54" s="97">
        <v>0</v>
      </c>
      <c r="AQ54" s="97">
        <v>16</v>
      </c>
      <c r="AR54" s="63">
        <v>23</v>
      </c>
      <c r="AS54" s="62">
        <v>11</v>
      </c>
      <c r="AT54" s="62">
        <v>40</v>
      </c>
      <c r="AU54" s="62">
        <v>4</v>
      </c>
      <c r="AV54" s="62">
        <v>4</v>
      </c>
      <c r="AW54" s="62">
        <v>4</v>
      </c>
      <c r="AX54" s="62">
        <v>0</v>
      </c>
      <c r="AY54" s="62">
        <v>15</v>
      </c>
      <c r="AZ54" s="63">
        <v>15</v>
      </c>
      <c r="BA54" s="62">
        <v>48</v>
      </c>
      <c r="BB54" s="62">
        <v>2</v>
      </c>
      <c r="BC54" s="62" t="e">
        <f>VLOOKUP($B$9,#REF!,2,TRUE)</f>
        <v>#REF!</v>
      </c>
      <c r="BD54" s="62" t="s">
        <v>31</v>
      </c>
      <c r="BE54" s="62"/>
      <c r="BG54" s="48"/>
      <c r="BH54" s="48"/>
      <c r="BI54" s="48"/>
      <c r="BJ54" s="48">
        <v>8</v>
      </c>
      <c r="BK54" s="73">
        <v>8</v>
      </c>
      <c r="BL54" s="48"/>
    </row>
    <row r="55" spans="1:64" s="45" customFormat="1" ht="15.75">
      <c r="A55" s="95">
        <v>66</v>
      </c>
      <c r="B55" s="96" t="s">
        <v>721</v>
      </c>
      <c r="C55" s="97" t="s">
        <v>722</v>
      </c>
      <c r="D55" s="97" t="s">
        <v>120</v>
      </c>
      <c r="E55" s="97" t="s">
        <v>723</v>
      </c>
      <c r="F55" s="97" t="s">
        <v>122</v>
      </c>
      <c r="G55" s="96" t="s">
        <v>724</v>
      </c>
      <c r="H55" s="96" t="s">
        <v>123</v>
      </c>
      <c r="I55" s="96" t="s">
        <v>151</v>
      </c>
      <c r="J55" s="96" t="s">
        <v>725</v>
      </c>
      <c r="K55" s="98" t="s">
        <v>726</v>
      </c>
      <c r="L55" s="97">
        <v>480</v>
      </c>
      <c r="M55" s="96" t="s">
        <v>154</v>
      </c>
      <c r="N55" s="96"/>
      <c r="O55" s="97" t="s">
        <v>284</v>
      </c>
      <c r="P55" s="97" t="s">
        <v>31</v>
      </c>
      <c r="Q55" s="97" t="s">
        <v>31</v>
      </c>
      <c r="R55" s="97" t="s">
        <v>31</v>
      </c>
      <c r="S55" s="97" t="s">
        <v>238</v>
      </c>
      <c r="T55" s="97">
        <v>3</v>
      </c>
      <c r="U55" s="97">
        <v>7</v>
      </c>
      <c r="V55" s="97">
        <v>0</v>
      </c>
      <c r="W55" s="97">
        <v>2</v>
      </c>
      <c r="X55" s="97" t="s">
        <v>168</v>
      </c>
      <c r="Y55" s="97" t="s">
        <v>168</v>
      </c>
      <c r="Z55" s="97" t="e">
        <v>#N/A</v>
      </c>
      <c r="AA55" s="97" t="e">
        <v>#N/A</v>
      </c>
      <c r="AB55" s="97"/>
      <c r="AC55" s="97" t="s">
        <v>157</v>
      </c>
      <c r="AD55" s="97" t="s">
        <v>132</v>
      </c>
      <c r="AE55" s="97" t="s">
        <v>133</v>
      </c>
      <c r="AF55" s="97" t="s">
        <v>329</v>
      </c>
      <c r="AG55" s="97" t="s">
        <v>31</v>
      </c>
      <c r="AH55" s="97">
        <v>701</v>
      </c>
      <c r="AI55" s="97"/>
      <c r="AJ55" s="97" t="s">
        <v>135</v>
      </c>
      <c r="AK55" s="97">
        <v>14</v>
      </c>
      <c r="AL55" s="97">
        <v>0</v>
      </c>
      <c r="AM55" s="97">
        <v>70</v>
      </c>
      <c r="AN55" s="97">
        <v>15</v>
      </c>
      <c r="AO55" s="97">
        <v>12</v>
      </c>
      <c r="AP55" s="99">
        <v>0</v>
      </c>
      <c r="AQ55" s="97">
        <v>16</v>
      </c>
      <c r="AR55" s="61">
        <v>22</v>
      </c>
      <c r="AS55" s="60">
        <v>10</v>
      </c>
      <c r="AT55" s="60">
        <v>40</v>
      </c>
      <c r="AU55" s="60">
        <v>4</v>
      </c>
      <c r="AV55" s="60">
        <v>4</v>
      </c>
      <c r="AW55" s="60">
        <v>4</v>
      </c>
      <c r="AX55" s="64">
        <v>0</v>
      </c>
      <c r="AY55" s="60">
        <v>15</v>
      </c>
      <c r="AZ55" s="61">
        <v>15</v>
      </c>
      <c r="BA55" s="60">
        <v>48</v>
      </c>
      <c r="BB55" s="60">
        <v>2</v>
      </c>
      <c r="BC55" s="60" t="e">
        <f>VLOOKUP($B$9,#REF!,2,TRUE)</f>
        <v>#REF!</v>
      </c>
      <c r="BD55" s="60" t="s">
        <v>31</v>
      </c>
      <c r="BE55" s="60"/>
      <c r="BG55" s="48"/>
      <c r="BH55" s="48"/>
      <c r="BI55" s="48"/>
      <c r="BJ55" s="48">
        <v>8</v>
      </c>
      <c r="BK55" s="73">
        <v>8</v>
      </c>
      <c r="BL55" s="48"/>
    </row>
    <row r="56" spans="1:64" s="45" customFormat="1" ht="15.75">
      <c r="A56" s="95">
        <v>39</v>
      </c>
      <c r="B56" s="96" t="s">
        <v>753</v>
      </c>
      <c r="C56" s="97" t="s">
        <v>754</v>
      </c>
      <c r="D56" s="97" t="s">
        <v>755</v>
      </c>
      <c r="E56" s="97" t="s">
        <v>756</v>
      </c>
      <c r="F56" s="97" t="s">
        <v>296</v>
      </c>
      <c r="G56" s="96" t="s">
        <v>757</v>
      </c>
      <c r="H56" s="96" t="s">
        <v>123</v>
      </c>
      <c r="I56" s="96" t="s">
        <v>124</v>
      </c>
      <c r="J56" s="96" t="s">
        <v>758</v>
      </c>
      <c r="K56" s="98" t="s">
        <v>679</v>
      </c>
      <c r="L56" s="97">
        <v>544</v>
      </c>
      <c r="M56" s="96" t="s">
        <v>154</v>
      </c>
      <c r="N56" s="96"/>
      <c r="O56" s="97" t="s">
        <v>128</v>
      </c>
      <c r="P56" s="97" t="s">
        <v>31</v>
      </c>
      <c r="Q56" s="97" t="s">
        <v>31</v>
      </c>
      <c r="R56" s="97" t="s">
        <v>31</v>
      </c>
      <c r="S56" s="97" t="s">
        <v>177</v>
      </c>
      <c r="T56" s="97">
        <v>3</v>
      </c>
      <c r="U56" s="97">
        <v>7</v>
      </c>
      <c r="V56" s="97">
        <v>0</v>
      </c>
      <c r="W56" s="97">
        <v>2</v>
      </c>
      <c r="X56" s="97" t="s">
        <v>168</v>
      </c>
      <c r="Y56" s="97" t="s">
        <v>168</v>
      </c>
      <c r="Z56" s="97" t="e">
        <v>#N/A</v>
      </c>
      <c r="AA56" s="97" t="e">
        <v>#N/A</v>
      </c>
      <c r="AB56" s="97"/>
      <c r="AC56" s="97" t="s">
        <v>157</v>
      </c>
      <c r="AD56" s="97" t="s">
        <v>132</v>
      </c>
      <c r="AE56" s="97" t="s">
        <v>133</v>
      </c>
      <c r="AF56" s="97" t="s">
        <v>329</v>
      </c>
      <c r="AG56" s="97" t="s">
        <v>31</v>
      </c>
      <c r="AH56" s="97">
        <v>701</v>
      </c>
      <c r="AI56" s="97"/>
      <c r="AJ56" s="97" t="s">
        <v>135</v>
      </c>
      <c r="AK56" s="97">
        <v>14</v>
      </c>
      <c r="AL56" s="97">
        <v>0</v>
      </c>
      <c r="AM56" s="97">
        <v>70</v>
      </c>
      <c r="AN56" s="97">
        <v>15</v>
      </c>
      <c r="AO56" s="97">
        <v>12</v>
      </c>
      <c r="AP56" s="97">
        <v>0</v>
      </c>
      <c r="AQ56" s="97">
        <v>16</v>
      </c>
      <c r="AR56" s="63">
        <v>22</v>
      </c>
      <c r="AS56" s="62">
        <v>10</v>
      </c>
      <c r="AT56" s="62">
        <v>40</v>
      </c>
      <c r="AU56" s="62">
        <v>4</v>
      </c>
      <c r="AV56" s="62">
        <v>4</v>
      </c>
      <c r="AW56" s="62">
        <v>4</v>
      </c>
      <c r="AX56" s="62">
        <v>0</v>
      </c>
      <c r="AY56" s="62">
        <v>15</v>
      </c>
      <c r="AZ56" s="63">
        <v>15</v>
      </c>
      <c r="BA56" s="62">
        <v>48</v>
      </c>
      <c r="BB56" s="62">
        <v>2</v>
      </c>
      <c r="BC56" s="62" t="e">
        <f>VLOOKUP($B$9,#REF!,2,TRUE)</f>
        <v>#REF!</v>
      </c>
      <c r="BD56" s="62" t="s">
        <v>31</v>
      </c>
      <c r="BE56" s="62"/>
      <c r="BG56" s="48"/>
      <c r="BH56" s="48"/>
      <c r="BI56" s="48"/>
      <c r="BJ56" s="48">
        <v>8</v>
      </c>
      <c r="BK56" s="73">
        <v>8</v>
      </c>
      <c r="BL56" s="48"/>
    </row>
    <row r="57" spans="1:64" s="45" customFormat="1" ht="15.75">
      <c r="A57" s="95">
        <v>54</v>
      </c>
      <c r="B57" s="96" t="s">
        <v>885</v>
      </c>
      <c r="C57" s="97" t="s">
        <v>886</v>
      </c>
      <c r="D57" s="97" t="s">
        <v>887</v>
      </c>
      <c r="E57" s="97" t="s">
        <v>888</v>
      </c>
      <c r="F57" s="97" t="s">
        <v>143</v>
      </c>
      <c r="G57" s="96" t="s">
        <v>889</v>
      </c>
      <c r="H57" s="96" t="s">
        <v>123</v>
      </c>
      <c r="I57" s="96" t="s">
        <v>151</v>
      </c>
      <c r="J57" s="96" t="s">
        <v>890</v>
      </c>
      <c r="K57" s="98" t="s">
        <v>619</v>
      </c>
      <c r="L57" s="97">
        <v>600</v>
      </c>
      <c r="M57" s="96" t="s">
        <v>154</v>
      </c>
      <c r="N57" s="96"/>
      <c r="O57" s="97" t="s">
        <v>128</v>
      </c>
      <c r="P57" s="97" t="s">
        <v>31</v>
      </c>
      <c r="Q57" s="97" t="s">
        <v>31</v>
      </c>
      <c r="R57" s="97" t="s">
        <v>31</v>
      </c>
      <c r="S57" s="97" t="s">
        <v>238</v>
      </c>
      <c r="T57" s="97">
        <v>3</v>
      </c>
      <c r="U57" s="97">
        <v>7</v>
      </c>
      <c r="V57" s="97">
        <v>0</v>
      </c>
      <c r="W57" s="97">
        <v>2</v>
      </c>
      <c r="X57" s="97" t="s">
        <v>168</v>
      </c>
      <c r="Y57" s="97" t="s">
        <v>168</v>
      </c>
      <c r="Z57" s="97" t="e">
        <v>#N/A</v>
      </c>
      <c r="AA57" s="97" t="e">
        <v>#N/A</v>
      </c>
      <c r="AB57" s="97"/>
      <c r="AC57" s="97" t="s">
        <v>157</v>
      </c>
      <c r="AD57" s="97" t="s">
        <v>132</v>
      </c>
      <c r="AE57" s="97" t="s">
        <v>133</v>
      </c>
      <c r="AF57" s="97" t="s">
        <v>329</v>
      </c>
      <c r="AG57" s="97" t="s">
        <v>31</v>
      </c>
      <c r="AH57" s="97">
        <v>701</v>
      </c>
      <c r="AI57" s="97"/>
      <c r="AJ57" s="97" t="s">
        <v>135</v>
      </c>
      <c r="AK57" s="97">
        <v>14</v>
      </c>
      <c r="AL57" s="97">
        <v>0</v>
      </c>
      <c r="AM57" s="97">
        <v>70</v>
      </c>
      <c r="AN57" s="97">
        <v>15</v>
      </c>
      <c r="AO57" s="97">
        <v>12</v>
      </c>
      <c r="AP57" s="99">
        <v>0</v>
      </c>
      <c r="AQ57" s="97">
        <v>16</v>
      </c>
      <c r="AR57" s="63">
        <v>22</v>
      </c>
      <c r="AS57" s="62">
        <v>10</v>
      </c>
      <c r="AT57" s="62">
        <v>40</v>
      </c>
      <c r="AU57" s="62">
        <v>4</v>
      </c>
      <c r="AV57" s="62">
        <v>4</v>
      </c>
      <c r="AW57" s="62">
        <v>4</v>
      </c>
      <c r="AX57" s="58">
        <v>0</v>
      </c>
      <c r="AY57" s="62">
        <v>15</v>
      </c>
      <c r="AZ57" s="63">
        <v>15</v>
      </c>
      <c r="BA57" s="62">
        <v>48</v>
      </c>
      <c r="BB57" s="62">
        <v>2</v>
      </c>
      <c r="BC57" s="62" t="e">
        <f>VLOOKUP($B$9,#REF!,2,TRUE)</f>
        <v>#REF!</v>
      </c>
      <c r="BD57" s="62" t="s">
        <v>31</v>
      </c>
      <c r="BE57" s="62"/>
      <c r="BG57" s="48"/>
      <c r="BH57" s="48"/>
      <c r="BI57" s="48"/>
      <c r="BJ57" s="48">
        <v>8</v>
      </c>
      <c r="BK57" s="73">
        <v>8</v>
      </c>
      <c r="BL57" s="48"/>
    </row>
    <row r="58" spans="1:64" s="45" customFormat="1" ht="15.75">
      <c r="A58" s="95">
        <v>419</v>
      </c>
      <c r="B58" s="96" t="s">
        <v>981</v>
      </c>
      <c r="C58" s="97" t="s">
        <v>982</v>
      </c>
      <c r="D58" s="97" t="s">
        <v>983</v>
      </c>
      <c r="E58" s="97" t="s">
        <v>984</v>
      </c>
      <c r="F58" s="97" t="s">
        <v>656</v>
      </c>
      <c r="G58" s="96" t="s">
        <v>985</v>
      </c>
      <c r="H58" s="96" t="s">
        <v>123</v>
      </c>
      <c r="I58" s="96" t="s">
        <v>401</v>
      </c>
      <c r="J58" s="96" t="s">
        <v>986</v>
      </c>
      <c r="K58" s="98" t="s">
        <v>701</v>
      </c>
      <c r="L58" s="97">
        <v>547</v>
      </c>
      <c r="M58" s="96" t="s">
        <v>154</v>
      </c>
      <c r="N58" s="96"/>
      <c r="O58" s="97" t="s">
        <v>284</v>
      </c>
      <c r="P58" s="97" t="s">
        <v>31</v>
      </c>
      <c r="Q58" s="97" t="s">
        <v>31</v>
      </c>
      <c r="R58" s="97" t="s">
        <v>31</v>
      </c>
      <c r="S58" s="97" t="s">
        <v>177</v>
      </c>
      <c r="T58" s="97">
        <v>3</v>
      </c>
      <c r="U58" s="97">
        <v>7</v>
      </c>
      <c r="V58" s="97">
        <v>0</v>
      </c>
      <c r="W58" s="97">
        <v>2</v>
      </c>
      <c r="X58" s="97" t="s">
        <v>168</v>
      </c>
      <c r="Y58" s="97" t="s">
        <v>168</v>
      </c>
      <c r="Z58" s="97" t="e">
        <v>#N/A</v>
      </c>
      <c r="AA58" s="97" t="e">
        <v>#N/A</v>
      </c>
      <c r="AB58" s="97"/>
      <c r="AC58" s="97" t="s">
        <v>157</v>
      </c>
      <c r="AD58" s="97" t="s">
        <v>132</v>
      </c>
      <c r="AE58" s="97" t="s">
        <v>133</v>
      </c>
      <c r="AF58" s="97" t="s">
        <v>134</v>
      </c>
      <c r="AG58" s="97" t="s">
        <v>31</v>
      </c>
      <c r="AH58" s="97">
        <v>701</v>
      </c>
      <c r="AI58" s="97">
        <v>500</v>
      </c>
      <c r="AJ58" s="97" t="s">
        <v>369</v>
      </c>
      <c r="AK58" s="97">
        <v>14</v>
      </c>
      <c r="AL58" s="97">
        <v>0</v>
      </c>
      <c r="AM58" s="97">
        <v>70</v>
      </c>
      <c r="AN58" s="97">
        <v>15</v>
      </c>
      <c r="AO58" s="97">
        <v>12</v>
      </c>
      <c r="AP58" s="97">
        <v>0</v>
      </c>
      <c r="AQ58" s="97">
        <v>16</v>
      </c>
      <c r="AR58" s="61">
        <v>22</v>
      </c>
      <c r="AS58" s="60">
        <v>10</v>
      </c>
      <c r="AT58" s="60">
        <v>40</v>
      </c>
      <c r="AU58" s="60">
        <v>4</v>
      </c>
      <c r="AV58" s="60">
        <v>4</v>
      </c>
      <c r="AW58" s="60">
        <v>4</v>
      </c>
      <c r="AX58" s="60">
        <v>0</v>
      </c>
      <c r="AY58" s="60">
        <v>15</v>
      </c>
      <c r="AZ58" s="61">
        <v>15</v>
      </c>
      <c r="BA58" s="60">
        <v>48</v>
      </c>
      <c r="BB58" s="60">
        <v>2</v>
      </c>
      <c r="BC58" s="60" t="e">
        <f>VLOOKUP($B$9,#REF!,2,TRUE)</f>
        <v>#REF!</v>
      </c>
      <c r="BD58" s="60" t="s">
        <v>31</v>
      </c>
      <c r="BE58" s="60"/>
      <c r="BG58" s="48"/>
      <c r="BH58" s="48"/>
      <c r="BI58" s="48"/>
      <c r="BJ58" s="48">
        <v>8</v>
      </c>
      <c r="BK58" s="73">
        <v>8</v>
      </c>
      <c r="BL58" s="48"/>
    </row>
    <row r="59" spans="1:64" s="45" customFormat="1" ht="15.75">
      <c r="A59" s="95">
        <v>28</v>
      </c>
      <c r="B59" s="96" t="s">
        <v>285</v>
      </c>
      <c r="C59" s="97" t="s">
        <v>286</v>
      </c>
      <c r="D59" s="97" t="s">
        <v>287</v>
      </c>
      <c r="E59" s="97" t="s">
        <v>288</v>
      </c>
      <c r="F59" s="97" t="s">
        <v>243</v>
      </c>
      <c r="G59" s="96" t="s">
        <v>289</v>
      </c>
      <c r="H59" s="96" t="s">
        <v>123</v>
      </c>
      <c r="I59" s="96" t="s">
        <v>124</v>
      </c>
      <c r="J59" s="96" t="s">
        <v>290</v>
      </c>
      <c r="K59" s="98" t="s">
        <v>291</v>
      </c>
      <c r="L59" s="97">
        <v>500</v>
      </c>
      <c r="M59" s="96" t="s">
        <v>154</v>
      </c>
      <c r="N59" s="96"/>
      <c r="O59" s="97" t="s">
        <v>284</v>
      </c>
      <c r="P59" s="97" t="s">
        <v>31</v>
      </c>
      <c r="Q59" s="97" t="s">
        <v>31</v>
      </c>
      <c r="R59" s="97" t="s">
        <v>31</v>
      </c>
      <c r="S59" s="97" t="s">
        <v>177</v>
      </c>
      <c r="T59" s="97">
        <v>3</v>
      </c>
      <c r="U59" s="97">
        <v>8</v>
      </c>
      <c r="V59" s="97">
        <v>0</v>
      </c>
      <c r="W59" s="97">
        <v>2</v>
      </c>
      <c r="X59" s="97" t="s">
        <v>168</v>
      </c>
      <c r="Y59" s="97" t="s">
        <v>168</v>
      </c>
      <c r="Z59" s="97" t="e">
        <v>#N/A</v>
      </c>
      <c r="AA59" s="97" t="e">
        <v>#N/A</v>
      </c>
      <c r="AB59" s="97"/>
      <c r="AC59" s="97" t="s">
        <v>157</v>
      </c>
      <c r="AD59" s="97" t="s">
        <v>132</v>
      </c>
      <c r="AE59" s="97" t="s">
        <v>133</v>
      </c>
      <c r="AF59" s="97" t="s">
        <v>134</v>
      </c>
      <c r="AG59" s="97" t="s">
        <v>31</v>
      </c>
      <c r="AH59" s="97">
        <v>781</v>
      </c>
      <c r="AI59" s="97">
        <v>700</v>
      </c>
      <c r="AJ59" s="97">
        <v>900</v>
      </c>
      <c r="AK59" s="97">
        <v>16</v>
      </c>
      <c r="AL59" s="97">
        <v>0</v>
      </c>
      <c r="AM59" s="97">
        <v>80</v>
      </c>
      <c r="AN59" s="97">
        <v>15</v>
      </c>
      <c r="AO59" s="97">
        <v>12</v>
      </c>
      <c r="AP59" s="99">
        <v>0</v>
      </c>
      <c r="AQ59" s="97">
        <v>16</v>
      </c>
      <c r="AR59" s="61">
        <v>24</v>
      </c>
      <c r="AS59" s="60">
        <v>11</v>
      </c>
      <c r="AT59" s="60">
        <v>40</v>
      </c>
      <c r="AU59" s="60">
        <v>4</v>
      </c>
      <c r="AV59" s="60">
        <v>4</v>
      </c>
      <c r="AW59" s="60">
        <v>4</v>
      </c>
      <c r="AX59" s="64">
        <v>0</v>
      </c>
      <c r="AY59" s="60">
        <v>15</v>
      </c>
      <c r="AZ59" s="61">
        <v>15</v>
      </c>
      <c r="BA59" s="60">
        <v>48</v>
      </c>
      <c r="BB59" s="60">
        <v>2</v>
      </c>
      <c r="BC59" s="60" t="e">
        <f>VLOOKUP($B$9,#REF!,2,TRUE)</f>
        <v>#REF!</v>
      </c>
      <c r="BD59" s="60" t="s">
        <v>31</v>
      </c>
      <c r="BE59" s="60"/>
      <c r="BG59" s="48"/>
      <c r="BH59" s="48"/>
      <c r="BI59" s="48"/>
      <c r="BJ59" s="48">
        <v>8</v>
      </c>
      <c r="BK59" s="73">
        <v>8</v>
      </c>
      <c r="BL59" s="48"/>
    </row>
    <row r="60" spans="1:64" s="45" customFormat="1" ht="15.75">
      <c r="A60" s="95">
        <v>50</v>
      </c>
      <c r="B60" s="96" t="s">
        <v>356</v>
      </c>
      <c r="C60" s="97" t="s">
        <v>357</v>
      </c>
      <c r="D60" s="97" t="s">
        <v>358</v>
      </c>
      <c r="E60" s="97" t="s">
        <v>359</v>
      </c>
      <c r="F60" s="97" t="s">
        <v>217</v>
      </c>
      <c r="G60" s="96" t="s">
        <v>360</v>
      </c>
      <c r="H60" s="96" t="s">
        <v>123</v>
      </c>
      <c r="I60" s="96" t="s">
        <v>124</v>
      </c>
      <c r="J60" s="96" t="s">
        <v>361</v>
      </c>
      <c r="K60" s="98" t="s">
        <v>320</v>
      </c>
      <c r="L60" s="97">
        <v>410</v>
      </c>
      <c r="M60" s="96" t="s">
        <v>154</v>
      </c>
      <c r="N60" s="96"/>
      <c r="O60" s="97" t="s">
        <v>128</v>
      </c>
      <c r="P60" s="97" t="s">
        <v>31</v>
      </c>
      <c r="Q60" s="97" t="s">
        <v>31</v>
      </c>
      <c r="R60" s="97" t="s">
        <v>31</v>
      </c>
      <c r="S60" s="97" t="s">
        <v>167</v>
      </c>
      <c r="T60" s="97">
        <v>2</v>
      </c>
      <c r="U60" s="97">
        <v>8</v>
      </c>
      <c r="V60" s="97">
        <v>0</v>
      </c>
      <c r="W60" s="97">
        <v>2</v>
      </c>
      <c r="X60" s="97" t="s">
        <v>168</v>
      </c>
      <c r="Y60" s="97" t="s">
        <v>168</v>
      </c>
      <c r="Z60" s="97" t="e">
        <v>#N/A</v>
      </c>
      <c r="AA60" s="97" t="e">
        <v>#N/A</v>
      </c>
      <c r="AB60" s="97"/>
      <c r="AC60" s="97" t="s">
        <v>157</v>
      </c>
      <c r="AD60" s="97" t="s">
        <v>132</v>
      </c>
      <c r="AE60" s="97" t="s">
        <v>133</v>
      </c>
      <c r="AF60" s="97" t="s">
        <v>134</v>
      </c>
      <c r="AG60" s="97" t="s">
        <v>31</v>
      </c>
      <c r="AH60" s="97">
        <v>734</v>
      </c>
      <c r="AI60" s="97">
        <v>700</v>
      </c>
      <c r="AJ60" s="97">
        <v>900</v>
      </c>
      <c r="AK60" s="97">
        <v>16</v>
      </c>
      <c r="AL60" s="97">
        <v>0</v>
      </c>
      <c r="AM60" s="97">
        <v>80</v>
      </c>
      <c r="AN60" s="97">
        <v>10</v>
      </c>
      <c r="AO60" s="97">
        <v>8</v>
      </c>
      <c r="AP60" s="97">
        <v>0</v>
      </c>
      <c r="AQ60" s="97">
        <v>16</v>
      </c>
      <c r="AR60" s="61">
        <v>23</v>
      </c>
      <c r="AS60" s="60">
        <v>10</v>
      </c>
      <c r="AT60" s="60">
        <v>40</v>
      </c>
      <c r="AU60" s="60">
        <v>4</v>
      </c>
      <c r="AV60" s="60">
        <v>4</v>
      </c>
      <c r="AW60" s="60">
        <v>4</v>
      </c>
      <c r="AX60" s="60">
        <v>0</v>
      </c>
      <c r="AY60" s="60">
        <v>15</v>
      </c>
      <c r="AZ60" s="61">
        <v>15</v>
      </c>
      <c r="BA60" s="60">
        <v>48</v>
      </c>
      <c r="BB60" s="60">
        <v>2</v>
      </c>
      <c r="BC60" s="60" t="e">
        <f>VLOOKUP($B$9,#REF!,2,TRUE)</f>
        <v>#REF!</v>
      </c>
      <c r="BD60" s="60" t="s">
        <v>31</v>
      </c>
      <c r="BE60" s="60"/>
      <c r="BG60" s="48"/>
      <c r="BH60" s="48"/>
      <c r="BI60" s="48"/>
      <c r="BJ60" s="48">
        <v>8</v>
      </c>
      <c r="BK60" s="73">
        <v>8</v>
      </c>
      <c r="BL60" s="48"/>
    </row>
    <row r="61" spans="1:64" s="45" customFormat="1" ht="15.75">
      <c r="A61" s="95">
        <v>41</v>
      </c>
      <c r="B61" s="96" t="s">
        <v>362</v>
      </c>
      <c r="C61" s="97" t="s">
        <v>363</v>
      </c>
      <c r="D61" s="97" t="s">
        <v>364</v>
      </c>
      <c r="E61" s="97" t="s">
        <v>365</v>
      </c>
      <c r="F61" s="97" t="s">
        <v>366</v>
      </c>
      <c r="G61" s="96" t="s">
        <v>367</v>
      </c>
      <c r="H61" s="96" t="s">
        <v>123</v>
      </c>
      <c r="I61" s="96" t="s">
        <v>124</v>
      </c>
      <c r="J61" s="96" t="s">
        <v>368</v>
      </c>
      <c r="K61" s="98" t="s">
        <v>191</v>
      </c>
      <c r="L61" s="97">
        <v>505</v>
      </c>
      <c r="M61" s="96" t="s">
        <v>154</v>
      </c>
      <c r="N61" s="96"/>
      <c r="O61" s="97" t="s">
        <v>284</v>
      </c>
      <c r="P61" s="97" t="s">
        <v>31</v>
      </c>
      <c r="Q61" s="97" t="s">
        <v>31</v>
      </c>
      <c r="R61" s="97" t="s">
        <v>31</v>
      </c>
      <c r="S61" s="97" t="s">
        <v>238</v>
      </c>
      <c r="T61" s="97">
        <v>3</v>
      </c>
      <c r="U61" s="97">
        <v>8</v>
      </c>
      <c r="V61" s="97">
        <v>0</v>
      </c>
      <c r="W61" s="97">
        <v>2</v>
      </c>
      <c r="X61" s="97" t="s">
        <v>168</v>
      </c>
      <c r="Y61" s="97" t="s">
        <v>168</v>
      </c>
      <c r="Z61" s="97" t="e">
        <v>#N/A</v>
      </c>
      <c r="AA61" s="97" t="e">
        <v>#N/A</v>
      </c>
      <c r="AB61" s="97"/>
      <c r="AC61" s="97" t="s">
        <v>157</v>
      </c>
      <c r="AD61" s="97" t="s">
        <v>132</v>
      </c>
      <c r="AE61" s="97" t="s">
        <v>133</v>
      </c>
      <c r="AF61" s="97" t="s">
        <v>134</v>
      </c>
      <c r="AG61" s="97" t="s">
        <v>31</v>
      </c>
      <c r="AH61" s="97">
        <v>828</v>
      </c>
      <c r="AI61" s="97">
        <v>500</v>
      </c>
      <c r="AJ61" s="97" t="s">
        <v>369</v>
      </c>
      <c r="AK61" s="97">
        <v>16</v>
      </c>
      <c r="AL61" s="97">
        <v>0</v>
      </c>
      <c r="AM61" s="97">
        <v>80</v>
      </c>
      <c r="AN61" s="97">
        <v>15</v>
      </c>
      <c r="AO61" s="97">
        <v>12</v>
      </c>
      <c r="AP61" s="99">
        <v>0</v>
      </c>
      <c r="AQ61" s="97">
        <v>16</v>
      </c>
      <c r="AR61" s="63">
        <v>24</v>
      </c>
      <c r="AS61" s="62">
        <v>11</v>
      </c>
      <c r="AT61" s="62">
        <v>40</v>
      </c>
      <c r="AU61" s="62">
        <v>4</v>
      </c>
      <c r="AV61" s="62">
        <v>4</v>
      </c>
      <c r="AW61" s="62">
        <v>4</v>
      </c>
      <c r="AX61" s="58">
        <v>0</v>
      </c>
      <c r="AY61" s="62">
        <v>15</v>
      </c>
      <c r="AZ61" s="63">
        <v>15</v>
      </c>
      <c r="BA61" s="62">
        <v>48</v>
      </c>
      <c r="BB61" s="62">
        <v>2</v>
      </c>
      <c r="BC61" s="62" t="e">
        <f>VLOOKUP($B$9,#REF!,2,TRUE)</f>
        <v>#REF!</v>
      </c>
      <c r="BD61" s="62" t="s">
        <v>31</v>
      </c>
      <c r="BE61" s="62"/>
      <c r="BG61" s="48"/>
      <c r="BH61" s="48"/>
      <c r="BI61" s="48"/>
      <c r="BJ61" s="48">
        <v>8</v>
      </c>
      <c r="BK61" s="73">
        <v>8</v>
      </c>
      <c r="BL61" s="48"/>
    </row>
    <row r="62" spans="1:64" s="45" customFormat="1" ht="15.75">
      <c r="A62" s="95">
        <v>411</v>
      </c>
      <c r="B62" s="96" t="s">
        <v>370</v>
      </c>
      <c r="C62" s="97" t="s">
        <v>371</v>
      </c>
      <c r="D62" s="97" t="s">
        <v>372</v>
      </c>
      <c r="E62" s="97" t="s">
        <v>373</v>
      </c>
      <c r="F62" s="97" t="s">
        <v>217</v>
      </c>
      <c r="G62" s="96" t="s">
        <v>374</v>
      </c>
      <c r="H62" s="96" t="s">
        <v>123</v>
      </c>
      <c r="I62" s="96" t="s">
        <v>124</v>
      </c>
      <c r="J62" s="96" t="s">
        <v>375</v>
      </c>
      <c r="K62" s="98" t="s">
        <v>253</v>
      </c>
      <c r="L62" s="97">
        <v>528</v>
      </c>
      <c r="M62" s="96" t="s">
        <v>154</v>
      </c>
      <c r="N62" s="96"/>
      <c r="O62" s="97" t="s">
        <v>128</v>
      </c>
      <c r="P62" s="97" t="s">
        <v>31</v>
      </c>
      <c r="Q62" s="97" t="s">
        <v>31</v>
      </c>
      <c r="R62" s="97" t="s">
        <v>31</v>
      </c>
      <c r="S62" s="97" t="s">
        <v>177</v>
      </c>
      <c r="T62" s="97">
        <v>3</v>
      </c>
      <c r="U62" s="97">
        <v>8</v>
      </c>
      <c r="V62" s="97">
        <v>0</v>
      </c>
      <c r="W62" s="97">
        <v>2</v>
      </c>
      <c r="X62" s="97" t="s">
        <v>168</v>
      </c>
      <c r="Y62" s="97" t="s">
        <v>168</v>
      </c>
      <c r="Z62" s="97" t="e">
        <v>#N/A</v>
      </c>
      <c r="AA62" s="97" t="e">
        <v>#N/A</v>
      </c>
      <c r="AB62" s="97"/>
      <c r="AC62" s="97" t="s">
        <v>157</v>
      </c>
      <c r="AD62" s="97" t="s">
        <v>132</v>
      </c>
      <c r="AE62" s="97" t="s">
        <v>133</v>
      </c>
      <c r="AF62" s="97" t="s">
        <v>134</v>
      </c>
      <c r="AG62" s="97" t="s">
        <v>31</v>
      </c>
      <c r="AH62" s="97">
        <v>781</v>
      </c>
      <c r="AI62" s="97">
        <v>700</v>
      </c>
      <c r="AJ62" s="97">
        <v>900</v>
      </c>
      <c r="AK62" s="97">
        <v>16</v>
      </c>
      <c r="AL62" s="97">
        <v>0</v>
      </c>
      <c r="AM62" s="97">
        <v>80</v>
      </c>
      <c r="AN62" s="97">
        <v>15</v>
      </c>
      <c r="AO62" s="97">
        <v>12</v>
      </c>
      <c r="AP62" s="97">
        <v>0</v>
      </c>
      <c r="AQ62" s="97">
        <v>16</v>
      </c>
      <c r="AR62" s="61">
        <v>24</v>
      </c>
      <c r="AS62" s="60">
        <v>11</v>
      </c>
      <c r="AT62" s="60">
        <v>40</v>
      </c>
      <c r="AU62" s="60">
        <v>4</v>
      </c>
      <c r="AV62" s="60">
        <v>4</v>
      </c>
      <c r="AW62" s="60">
        <v>4</v>
      </c>
      <c r="AX62" s="60">
        <v>0</v>
      </c>
      <c r="AY62" s="60">
        <v>15</v>
      </c>
      <c r="AZ62" s="61">
        <v>15</v>
      </c>
      <c r="BA62" s="60">
        <v>48</v>
      </c>
      <c r="BB62" s="60">
        <v>2</v>
      </c>
      <c r="BC62" s="60" t="e">
        <f>VLOOKUP($B$9,#REF!,2,TRUE)</f>
        <v>#REF!</v>
      </c>
      <c r="BD62" s="60" t="s">
        <v>31</v>
      </c>
      <c r="BE62" s="60"/>
      <c r="BG62" s="48"/>
      <c r="BH62" s="48"/>
      <c r="BI62" s="48"/>
      <c r="BJ62" s="48">
        <v>8</v>
      </c>
      <c r="BK62" s="73">
        <v>8</v>
      </c>
      <c r="BL62" s="48"/>
    </row>
    <row r="63" spans="1:64" s="45" customFormat="1" ht="15.75">
      <c r="A63" s="95">
        <v>29</v>
      </c>
      <c r="B63" s="96" t="s">
        <v>383</v>
      </c>
      <c r="C63" s="97" t="s">
        <v>384</v>
      </c>
      <c r="D63" s="97" t="s">
        <v>385</v>
      </c>
      <c r="E63" s="97" t="s">
        <v>386</v>
      </c>
      <c r="F63" s="97" t="s">
        <v>122</v>
      </c>
      <c r="G63" s="96" t="s">
        <v>387</v>
      </c>
      <c r="H63" s="96" t="s">
        <v>123</v>
      </c>
      <c r="I63" s="96" t="s">
        <v>151</v>
      </c>
      <c r="J63" s="96" t="s">
        <v>388</v>
      </c>
      <c r="K63" s="98" t="s">
        <v>307</v>
      </c>
      <c r="L63" s="97">
        <v>375</v>
      </c>
      <c r="M63" s="96" t="s">
        <v>154</v>
      </c>
      <c r="N63" s="96"/>
      <c r="O63" s="97" t="s">
        <v>128</v>
      </c>
      <c r="P63" s="97" t="s">
        <v>31</v>
      </c>
      <c r="Q63" s="97" t="s">
        <v>28</v>
      </c>
      <c r="R63" s="97" t="s">
        <v>28</v>
      </c>
      <c r="S63" s="97" t="s">
        <v>177</v>
      </c>
      <c r="T63" s="97">
        <v>3</v>
      </c>
      <c r="U63" s="97">
        <v>8</v>
      </c>
      <c r="V63" s="97">
        <v>0</v>
      </c>
      <c r="W63" s="97">
        <v>2</v>
      </c>
      <c r="X63" s="97" t="s">
        <v>168</v>
      </c>
      <c r="Y63" s="97" t="s">
        <v>168</v>
      </c>
      <c r="Z63" s="97" t="e">
        <v>#N/A</v>
      </c>
      <c r="AA63" s="97" t="e">
        <v>#N/A</v>
      </c>
      <c r="AB63" s="97"/>
      <c r="AC63" s="97" t="s">
        <v>157</v>
      </c>
      <c r="AD63" s="97" t="s">
        <v>132</v>
      </c>
      <c r="AE63" s="97" t="s">
        <v>133</v>
      </c>
      <c r="AF63" s="97" t="s">
        <v>134</v>
      </c>
      <c r="AG63" s="97" t="s">
        <v>31</v>
      </c>
      <c r="AH63" s="97">
        <v>781</v>
      </c>
      <c r="AI63" s="97">
        <v>700</v>
      </c>
      <c r="AJ63" s="97">
        <v>900</v>
      </c>
      <c r="AK63" s="97">
        <v>16</v>
      </c>
      <c r="AL63" s="97">
        <v>0</v>
      </c>
      <c r="AM63" s="97">
        <v>80</v>
      </c>
      <c r="AN63" s="97">
        <v>15</v>
      </c>
      <c r="AO63" s="97">
        <v>12</v>
      </c>
      <c r="AP63" s="99">
        <v>0</v>
      </c>
      <c r="AQ63" s="97">
        <v>16</v>
      </c>
      <c r="AR63" s="61">
        <v>24</v>
      </c>
      <c r="AS63" s="60">
        <v>11</v>
      </c>
      <c r="AT63" s="60">
        <v>40</v>
      </c>
      <c r="AU63" s="60">
        <v>4</v>
      </c>
      <c r="AV63" s="60">
        <v>4</v>
      </c>
      <c r="AW63" s="60">
        <v>4</v>
      </c>
      <c r="AX63" s="64">
        <v>0</v>
      </c>
      <c r="AY63" s="60">
        <v>15</v>
      </c>
      <c r="AZ63" s="61">
        <v>15</v>
      </c>
      <c r="BA63" s="60">
        <v>48</v>
      </c>
      <c r="BB63" s="60">
        <v>2</v>
      </c>
      <c r="BC63" s="60" t="e">
        <f>VLOOKUP($B$9,#REF!,2,TRUE)</f>
        <v>#REF!</v>
      </c>
      <c r="BD63" s="60" t="s">
        <v>31</v>
      </c>
      <c r="BE63" s="60"/>
      <c r="BG63" s="48"/>
      <c r="BH63" s="48"/>
      <c r="BI63" s="48"/>
      <c r="BJ63" s="48">
        <v>8</v>
      </c>
      <c r="BK63" s="73">
        <v>8</v>
      </c>
      <c r="BL63" s="48"/>
    </row>
    <row r="64" spans="1:64" s="45" customFormat="1" ht="15.75">
      <c r="A64" s="95">
        <v>60</v>
      </c>
      <c r="B64" s="96" t="s">
        <v>428</v>
      </c>
      <c r="C64" s="97" t="s">
        <v>429</v>
      </c>
      <c r="D64" s="97" t="s">
        <v>430</v>
      </c>
      <c r="E64" s="97" t="s">
        <v>431</v>
      </c>
      <c r="F64" s="97" t="s">
        <v>217</v>
      </c>
      <c r="G64" s="96" t="s">
        <v>432</v>
      </c>
      <c r="H64" s="96" t="s">
        <v>123</v>
      </c>
      <c r="I64" s="96" t="s">
        <v>124</v>
      </c>
      <c r="J64" s="96" t="s">
        <v>433</v>
      </c>
      <c r="K64" s="98" t="s">
        <v>220</v>
      </c>
      <c r="L64" s="97">
        <v>600</v>
      </c>
      <c r="M64" s="96" t="s">
        <v>154</v>
      </c>
      <c r="N64" s="96"/>
      <c r="O64" s="97" t="s">
        <v>128</v>
      </c>
      <c r="P64" s="97" t="s">
        <v>31</v>
      </c>
      <c r="Q64" s="97" t="s">
        <v>31</v>
      </c>
      <c r="R64" s="97" t="s">
        <v>31</v>
      </c>
      <c r="S64" s="97" t="s">
        <v>177</v>
      </c>
      <c r="T64" s="97">
        <v>3</v>
      </c>
      <c r="U64" s="97">
        <v>8</v>
      </c>
      <c r="V64" s="97">
        <v>0</v>
      </c>
      <c r="W64" s="97">
        <v>2</v>
      </c>
      <c r="X64" s="97" t="s">
        <v>168</v>
      </c>
      <c r="Y64" s="97" t="s">
        <v>168</v>
      </c>
      <c r="Z64" s="97" t="e">
        <v>#N/A</v>
      </c>
      <c r="AA64" s="97" t="e">
        <v>#N/A</v>
      </c>
      <c r="AB64" s="97"/>
      <c r="AC64" s="97" t="s">
        <v>157</v>
      </c>
      <c r="AD64" s="97" t="s">
        <v>132</v>
      </c>
      <c r="AE64" s="97" t="s">
        <v>133</v>
      </c>
      <c r="AF64" s="97" t="s">
        <v>134</v>
      </c>
      <c r="AG64" s="97" t="s">
        <v>31</v>
      </c>
      <c r="AH64" s="97">
        <v>781</v>
      </c>
      <c r="AI64" s="97">
        <v>500</v>
      </c>
      <c r="AJ64" s="97" t="s">
        <v>369</v>
      </c>
      <c r="AK64" s="97">
        <v>16</v>
      </c>
      <c r="AL64" s="97">
        <v>0</v>
      </c>
      <c r="AM64" s="97">
        <v>80</v>
      </c>
      <c r="AN64" s="97">
        <v>15</v>
      </c>
      <c r="AO64" s="97">
        <v>12</v>
      </c>
      <c r="AP64" s="97">
        <v>0</v>
      </c>
      <c r="AQ64" s="97">
        <v>16</v>
      </c>
      <c r="AR64" s="63">
        <v>24</v>
      </c>
      <c r="AS64" s="62">
        <v>11</v>
      </c>
      <c r="AT64" s="62">
        <v>40</v>
      </c>
      <c r="AU64" s="62">
        <v>4</v>
      </c>
      <c r="AV64" s="62">
        <v>4</v>
      </c>
      <c r="AW64" s="62">
        <v>4</v>
      </c>
      <c r="AX64" s="62">
        <v>0</v>
      </c>
      <c r="AY64" s="62">
        <v>15</v>
      </c>
      <c r="AZ64" s="63">
        <v>15</v>
      </c>
      <c r="BA64" s="62">
        <v>48</v>
      </c>
      <c r="BB64" s="62">
        <v>2</v>
      </c>
      <c r="BC64" s="62" t="e">
        <f>VLOOKUP($B$9,#REF!,2,TRUE)</f>
        <v>#REF!</v>
      </c>
      <c r="BD64" s="62" t="s">
        <v>31</v>
      </c>
      <c r="BE64" s="62"/>
      <c r="BG64" s="48"/>
      <c r="BH64" s="48"/>
      <c r="BI64" s="48"/>
      <c r="BJ64" s="48">
        <v>8</v>
      </c>
      <c r="BK64" s="73">
        <v>8</v>
      </c>
      <c r="BL64" s="48"/>
    </row>
    <row r="65" spans="1:64" s="45" customFormat="1" ht="15.75">
      <c r="A65" s="95">
        <v>24</v>
      </c>
      <c r="B65" s="96" t="s">
        <v>471</v>
      </c>
      <c r="C65" s="97" t="s">
        <v>472</v>
      </c>
      <c r="D65" s="97" t="s">
        <v>473</v>
      </c>
      <c r="E65" s="97" t="s">
        <v>474</v>
      </c>
      <c r="F65" s="97" t="s">
        <v>475</v>
      </c>
      <c r="G65" s="96" t="s">
        <v>476</v>
      </c>
      <c r="H65" s="96" t="s">
        <v>137</v>
      </c>
      <c r="I65" s="96" t="s">
        <v>477</v>
      </c>
      <c r="J65" s="96" t="s">
        <v>478</v>
      </c>
      <c r="K65" s="98" t="s">
        <v>479</v>
      </c>
      <c r="L65" s="97">
        <v>757</v>
      </c>
      <c r="M65" s="96" t="s">
        <v>154</v>
      </c>
      <c r="N65" s="96"/>
      <c r="O65" s="97" t="s">
        <v>128</v>
      </c>
      <c r="P65" s="97" t="s">
        <v>31</v>
      </c>
      <c r="Q65" s="97" t="s">
        <v>31</v>
      </c>
      <c r="R65" s="97" t="s">
        <v>31</v>
      </c>
      <c r="S65" s="97" t="s">
        <v>177</v>
      </c>
      <c r="T65" s="97">
        <v>3</v>
      </c>
      <c r="U65" s="97">
        <v>8</v>
      </c>
      <c r="V65" s="97">
        <v>0</v>
      </c>
      <c r="W65" s="97">
        <v>2</v>
      </c>
      <c r="X65" s="97" t="s">
        <v>168</v>
      </c>
      <c r="Y65" s="97" t="s">
        <v>168</v>
      </c>
      <c r="Z65" s="97" t="e">
        <v>#N/A</v>
      </c>
      <c r="AA65" s="97" t="e">
        <v>#N/A</v>
      </c>
      <c r="AB65" s="97"/>
      <c r="AC65" s="97" t="s">
        <v>157</v>
      </c>
      <c r="AD65" s="97" t="s">
        <v>132</v>
      </c>
      <c r="AE65" s="97" t="s">
        <v>133</v>
      </c>
      <c r="AF65" s="97" t="s">
        <v>134</v>
      </c>
      <c r="AG65" s="97" t="s">
        <v>31</v>
      </c>
      <c r="AH65" s="97">
        <v>781</v>
      </c>
      <c r="AI65" s="97">
        <v>500</v>
      </c>
      <c r="AJ65" s="97" t="s">
        <v>369</v>
      </c>
      <c r="AK65" s="97">
        <v>16</v>
      </c>
      <c r="AL65" s="97">
        <v>0</v>
      </c>
      <c r="AM65" s="97">
        <v>80</v>
      </c>
      <c r="AN65" s="97">
        <v>15</v>
      </c>
      <c r="AO65" s="97">
        <v>12</v>
      </c>
      <c r="AP65" s="99">
        <v>0</v>
      </c>
      <c r="AQ65" s="97">
        <v>16</v>
      </c>
      <c r="AR65" s="61">
        <v>24</v>
      </c>
      <c r="AS65" s="60">
        <v>11</v>
      </c>
      <c r="AT65" s="60">
        <v>40</v>
      </c>
      <c r="AU65" s="60">
        <v>4</v>
      </c>
      <c r="AV65" s="60">
        <v>4</v>
      </c>
      <c r="AW65" s="60">
        <v>4</v>
      </c>
      <c r="AX65" s="64">
        <v>0</v>
      </c>
      <c r="AY65" s="60">
        <v>15</v>
      </c>
      <c r="AZ65" s="61">
        <v>15</v>
      </c>
      <c r="BA65" s="60">
        <v>48</v>
      </c>
      <c r="BB65" s="60">
        <v>2</v>
      </c>
      <c r="BC65" s="60" t="e">
        <f>VLOOKUP($B$9,#REF!,2,TRUE)</f>
        <v>#REF!</v>
      </c>
      <c r="BD65" s="60" t="s">
        <v>31</v>
      </c>
      <c r="BE65" s="60"/>
      <c r="BG65" s="48"/>
      <c r="BH65" s="48"/>
      <c r="BI65" s="48"/>
      <c r="BJ65" s="48">
        <v>8</v>
      </c>
      <c r="BK65" s="73">
        <v>8</v>
      </c>
      <c r="BL65" s="48"/>
    </row>
    <row r="66" spans="1:64" s="45" customFormat="1" ht="15.75">
      <c r="A66" s="95">
        <v>32</v>
      </c>
      <c r="B66" s="96" t="s">
        <v>480</v>
      </c>
      <c r="C66" s="97" t="s">
        <v>481</v>
      </c>
      <c r="D66" s="97" t="s">
        <v>412</v>
      </c>
      <c r="E66" s="97" t="s">
        <v>482</v>
      </c>
      <c r="F66" s="97" t="s">
        <v>366</v>
      </c>
      <c r="G66" s="96" t="s">
        <v>483</v>
      </c>
      <c r="H66" s="96" t="s">
        <v>123</v>
      </c>
      <c r="I66" s="96" t="s">
        <v>124</v>
      </c>
      <c r="J66" s="96" t="s">
        <v>484</v>
      </c>
      <c r="K66" s="98" t="s">
        <v>191</v>
      </c>
      <c r="L66" s="97">
        <v>601</v>
      </c>
      <c r="M66" s="96" t="s">
        <v>154</v>
      </c>
      <c r="N66" s="96"/>
      <c r="O66" s="97" t="s">
        <v>128</v>
      </c>
      <c r="P66" s="97" t="s">
        <v>31</v>
      </c>
      <c r="Q66" s="97" t="s">
        <v>31</v>
      </c>
      <c r="R66" s="97" t="s">
        <v>31</v>
      </c>
      <c r="S66" s="97" t="s">
        <v>177</v>
      </c>
      <c r="T66" s="97">
        <v>3</v>
      </c>
      <c r="U66" s="97">
        <v>8</v>
      </c>
      <c r="V66" s="97">
        <v>0</v>
      </c>
      <c r="W66" s="97">
        <v>2</v>
      </c>
      <c r="X66" s="97" t="s">
        <v>168</v>
      </c>
      <c r="Y66" s="97" t="s">
        <v>168</v>
      </c>
      <c r="Z66" s="97" t="e">
        <v>#N/A</v>
      </c>
      <c r="AA66" s="97" t="e">
        <v>#N/A</v>
      </c>
      <c r="AB66" s="97"/>
      <c r="AC66" s="97" t="s">
        <v>157</v>
      </c>
      <c r="AD66" s="97" t="s">
        <v>132</v>
      </c>
      <c r="AE66" s="97" t="s">
        <v>133</v>
      </c>
      <c r="AF66" s="97" t="s">
        <v>134</v>
      </c>
      <c r="AG66" s="97" t="s">
        <v>31</v>
      </c>
      <c r="AH66" s="97">
        <v>781</v>
      </c>
      <c r="AI66" s="97">
        <v>500</v>
      </c>
      <c r="AJ66" s="97" t="s">
        <v>369</v>
      </c>
      <c r="AK66" s="97">
        <v>16</v>
      </c>
      <c r="AL66" s="97">
        <v>0</v>
      </c>
      <c r="AM66" s="97">
        <v>80</v>
      </c>
      <c r="AN66" s="97">
        <v>15</v>
      </c>
      <c r="AO66" s="97">
        <v>12</v>
      </c>
      <c r="AP66" s="97">
        <v>0</v>
      </c>
      <c r="AQ66" s="97">
        <v>16</v>
      </c>
      <c r="AR66" s="63">
        <v>24</v>
      </c>
      <c r="AS66" s="62">
        <v>11</v>
      </c>
      <c r="AT66" s="62">
        <v>40</v>
      </c>
      <c r="AU66" s="62">
        <v>4</v>
      </c>
      <c r="AV66" s="62">
        <v>4</v>
      </c>
      <c r="AW66" s="62">
        <v>4</v>
      </c>
      <c r="AX66" s="62">
        <v>0</v>
      </c>
      <c r="AY66" s="62">
        <v>15</v>
      </c>
      <c r="AZ66" s="63">
        <v>15</v>
      </c>
      <c r="BA66" s="62">
        <v>48</v>
      </c>
      <c r="BB66" s="62">
        <v>2</v>
      </c>
      <c r="BC66" s="62" t="e">
        <f>VLOOKUP($B$9,#REF!,2,TRUE)</f>
        <v>#REF!</v>
      </c>
      <c r="BD66" s="62" t="s">
        <v>31</v>
      </c>
      <c r="BE66" s="62"/>
      <c r="BG66" s="48"/>
      <c r="BH66" s="48"/>
      <c r="BI66" s="48"/>
      <c r="BJ66" s="48">
        <v>8</v>
      </c>
      <c r="BK66" s="73">
        <v>8</v>
      </c>
      <c r="BL66" s="48"/>
    </row>
    <row r="67" spans="1:64" s="45" customFormat="1" ht="15.75">
      <c r="A67" s="95">
        <v>11</v>
      </c>
      <c r="B67" s="96" t="s">
        <v>596</v>
      </c>
      <c r="C67" s="97" t="s">
        <v>597</v>
      </c>
      <c r="D67" s="97" t="s">
        <v>598</v>
      </c>
      <c r="E67" s="97" t="s">
        <v>599</v>
      </c>
      <c r="F67" s="97" t="s">
        <v>143</v>
      </c>
      <c r="G67" s="96" t="s">
        <v>600</v>
      </c>
      <c r="H67" s="96" t="s">
        <v>123</v>
      </c>
      <c r="I67" s="96" t="s">
        <v>151</v>
      </c>
      <c r="J67" s="96" t="s">
        <v>601</v>
      </c>
      <c r="K67" s="98" t="s">
        <v>602</v>
      </c>
      <c r="L67" s="97">
        <v>457</v>
      </c>
      <c r="M67" s="96" t="s">
        <v>154</v>
      </c>
      <c r="N67" s="96"/>
      <c r="O67" s="97" t="s">
        <v>128</v>
      </c>
      <c r="P67" s="97" t="s">
        <v>31</v>
      </c>
      <c r="Q67" s="97" t="s">
        <v>31</v>
      </c>
      <c r="R67" s="97" t="s">
        <v>31</v>
      </c>
      <c r="S67" s="97" t="s">
        <v>167</v>
      </c>
      <c r="T67" s="97">
        <v>2</v>
      </c>
      <c r="U67" s="97">
        <v>8</v>
      </c>
      <c r="V67" s="97">
        <v>0</v>
      </c>
      <c r="W67" s="97">
        <v>2</v>
      </c>
      <c r="X67" s="97" t="s">
        <v>168</v>
      </c>
      <c r="Y67" s="97" t="s">
        <v>168</v>
      </c>
      <c r="Z67" s="97" t="e">
        <v>#N/A</v>
      </c>
      <c r="AA67" s="97" t="e">
        <v>#N/A</v>
      </c>
      <c r="AB67" s="97"/>
      <c r="AC67" s="97" t="s">
        <v>157</v>
      </c>
      <c r="AD67" s="97" t="s">
        <v>132</v>
      </c>
      <c r="AE67" s="97" t="s">
        <v>133</v>
      </c>
      <c r="AF67" s="97" t="s">
        <v>134</v>
      </c>
      <c r="AG67" s="97" t="s">
        <v>31</v>
      </c>
      <c r="AH67" s="97">
        <v>734</v>
      </c>
      <c r="AI67" s="97">
        <v>500</v>
      </c>
      <c r="AJ67" s="97" t="s">
        <v>369</v>
      </c>
      <c r="AK67" s="97">
        <v>16</v>
      </c>
      <c r="AL67" s="97">
        <v>0</v>
      </c>
      <c r="AM67" s="97">
        <v>80</v>
      </c>
      <c r="AN67" s="97">
        <v>10</v>
      </c>
      <c r="AO67" s="97">
        <v>8</v>
      </c>
      <c r="AP67" s="99">
        <v>0</v>
      </c>
      <c r="AQ67" s="97">
        <v>16</v>
      </c>
      <c r="AR67" s="61">
        <v>23</v>
      </c>
      <c r="AS67" s="60">
        <v>10</v>
      </c>
      <c r="AT67" s="60">
        <v>40</v>
      </c>
      <c r="AU67" s="60">
        <v>4</v>
      </c>
      <c r="AV67" s="60">
        <v>4</v>
      </c>
      <c r="AW67" s="60">
        <v>4</v>
      </c>
      <c r="AX67" s="64">
        <v>0</v>
      </c>
      <c r="AY67" s="60">
        <v>15</v>
      </c>
      <c r="AZ67" s="61">
        <v>15</v>
      </c>
      <c r="BA67" s="60">
        <v>48</v>
      </c>
      <c r="BB67" s="60">
        <v>2</v>
      </c>
      <c r="BC67" s="60" t="e">
        <f>VLOOKUP($B$9,#REF!,2,TRUE)</f>
        <v>#REF!</v>
      </c>
      <c r="BD67" s="60" t="s">
        <v>31</v>
      </c>
      <c r="BE67" s="60"/>
      <c r="BG67" s="48"/>
      <c r="BH67" s="48"/>
      <c r="BI67" s="48"/>
      <c r="BJ67" s="48">
        <v>8</v>
      </c>
      <c r="BK67" s="73">
        <v>8</v>
      </c>
      <c r="BL67" s="48"/>
    </row>
    <row r="68" spans="1:64" s="45" customFormat="1" ht="15.75">
      <c r="A68" s="95">
        <v>90</v>
      </c>
      <c r="B68" s="96" t="s">
        <v>626</v>
      </c>
      <c r="C68" s="97" t="s">
        <v>627</v>
      </c>
      <c r="D68" s="97" t="s">
        <v>358</v>
      </c>
      <c r="E68" s="97" t="s">
        <v>628</v>
      </c>
      <c r="F68" s="97" t="s">
        <v>122</v>
      </c>
      <c r="G68" s="96" t="s">
        <v>629</v>
      </c>
      <c r="H68" s="96" t="s">
        <v>123</v>
      </c>
      <c r="I68" s="96" t="s">
        <v>151</v>
      </c>
      <c r="J68" s="96" t="s">
        <v>630</v>
      </c>
      <c r="K68" s="98" t="s">
        <v>307</v>
      </c>
      <c r="L68" s="97">
        <v>450</v>
      </c>
      <c r="M68" s="96" t="s">
        <v>154</v>
      </c>
      <c r="N68" s="96"/>
      <c r="O68" s="97" t="s">
        <v>284</v>
      </c>
      <c r="P68" s="97" t="s">
        <v>31</v>
      </c>
      <c r="Q68" s="97" t="s">
        <v>31</v>
      </c>
      <c r="R68" s="97" t="s">
        <v>31</v>
      </c>
      <c r="S68" s="97" t="s">
        <v>167</v>
      </c>
      <c r="T68" s="97">
        <v>2</v>
      </c>
      <c r="U68" s="97">
        <v>8</v>
      </c>
      <c r="V68" s="97">
        <v>0</v>
      </c>
      <c r="W68" s="97">
        <v>2</v>
      </c>
      <c r="X68" s="97" t="s">
        <v>168</v>
      </c>
      <c r="Y68" s="97" t="s">
        <v>168</v>
      </c>
      <c r="Z68" s="97" t="e">
        <v>#N/A</v>
      </c>
      <c r="AA68" s="97" t="e">
        <v>#N/A</v>
      </c>
      <c r="AB68" s="97"/>
      <c r="AC68" s="97" t="s">
        <v>157</v>
      </c>
      <c r="AD68" s="97" t="s">
        <v>132</v>
      </c>
      <c r="AE68" s="97" t="s">
        <v>133</v>
      </c>
      <c r="AF68" s="97" t="s">
        <v>134</v>
      </c>
      <c r="AG68" s="97" t="s">
        <v>31</v>
      </c>
      <c r="AH68" s="97">
        <v>734</v>
      </c>
      <c r="AI68" s="97">
        <v>500</v>
      </c>
      <c r="AJ68" s="97" t="s">
        <v>369</v>
      </c>
      <c r="AK68" s="97">
        <v>16</v>
      </c>
      <c r="AL68" s="97">
        <v>0</v>
      </c>
      <c r="AM68" s="97">
        <v>80</v>
      </c>
      <c r="AN68" s="97">
        <v>10</v>
      </c>
      <c r="AO68" s="97">
        <v>8</v>
      </c>
      <c r="AP68" s="97">
        <v>0</v>
      </c>
      <c r="AQ68" s="97">
        <v>16</v>
      </c>
      <c r="AR68" s="61">
        <v>23</v>
      </c>
      <c r="AS68" s="60">
        <v>10</v>
      </c>
      <c r="AT68" s="60">
        <v>40</v>
      </c>
      <c r="AU68" s="60">
        <v>4</v>
      </c>
      <c r="AV68" s="60">
        <v>4</v>
      </c>
      <c r="AW68" s="60">
        <v>4</v>
      </c>
      <c r="AX68" s="60">
        <v>0</v>
      </c>
      <c r="AY68" s="60">
        <v>17</v>
      </c>
      <c r="AZ68" s="61">
        <v>15</v>
      </c>
      <c r="BA68" s="60">
        <v>48</v>
      </c>
      <c r="BB68" s="60">
        <v>2</v>
      </c>
      <c r="BC68" s="60" t="e">
        <f>VLOOKUP($B$9,#REF!,2,TRUE)</f>
        <v>#REF!</v>
      </c>
      <c r="BD68" s="60" t="s">
        <v>31</v>
      </c>
      <c r="BE68" s="60"/>
      <c r="BG68" s="48"/>
      <c r="BH68" s="48"/>
      <c r="BI68" s="48"/>
      <c r="BJ68" s="48">
        <v>8</v>
      </c>
      <c r="BK68" s="73">
        <v>8</v>
      </c>
      <c r="BL68" s="48"/>
    </row>
    <row r="69" spans="1:64" s="45" customFormat="1" ht="15.75">
      <c r="A69" s="95">
        <v>26</v>
      </c>
      <c r="B69" s="96" t="s">
        <v>645</v>
      </c>
      <c r="C69" s="97" t="s">
        <v>646</v>
      </c>
      <c r="D69" s="97" t="s">
        <v>647</v>
      </c>
      <c r="E69" s="97" t="s">
        <v>648</v>
      </c>
      <c r="F69" s="97" t="s">
        <v>505</v>
      </c>
      <c r="G69" s="96" t="s">
        <v>649</v>
      </c>
      <c r="H69" s="96" t="s">
        <v>123</v>
      </c>
      <c r="I69" s="96" t="s">
        <v>151</v>
      </c>
      <c r="J69" s="96" t="s">
        <v>650</v>
      </c>
      <c r="K69" s="98" t="s">
        <v>508</v>
      </c>
      <c r="L69" s="97" t="s">
        <v>651</v>
      </c>
      <c r="M69" s="96" t="s">
        <v>154</v>
      </c>
      <c r="N69" s="96"/>
      <c r="O69" s="97" t="s">
        <v>284</v>
      </c>
      <c r="P69" s="97" t="s">
        <v>31</v>
      </c>
      <c r="Q69" s="97" t="s">
        <v>31</v>
      </c>
      <c r="R69" s="97" t="s">
        <v>31</v>
      </c>
      <c r="S69" s="97" t="s">
        <v>177</v>
      </c>
      <c r="T69" s="97">
        <v>3</v>
      </c>
      <c r="U69" s="97">
        <v>8</v>
      </c>
      <c r="V69" s="97">
        <v>0</v>
      </c>
      <c r="W69" s="97">
        <v>2</v>
      </c>
      <c r="X69" s="97" t="s">
        <v>168</v>
      </c>
      <c r="Y69" s="97" t="s">
        <v>168</v>
      </c>
      <c r="Z69" s="97" t="e">
        <v>#N/A</v>
      </c>
      <c r="AA69" s="97" t="e">
        <v>#N/A</v>
      </c>
      <c r="AB69" s="97"/>
      <c r="AC69" s="97" t="s">
        <v>157</v>
      </c>
      <c r="AD69" s="97" t="s">
        <v>132</v>
      </c>
      <c r="AE69" s="97" t="s">
        <v>133</v>
      </c>
      <c r="AF69" s="97" t="s">
        <v>134</v>
      </c>
      <c r="AG69" s="97" t="s">
        <v>31</v>
      </c>
      <c r="AH69" s="97">
        <v>781</v>
      </c>
      <c r="AI69" s="97">
        <v>500</v>
      </c>
      <c r="AJ69" s="97" t="s">
        <v>369</v>
      </c>
      <c r="AK69" s="97">
        <v>16</v>
      </c>
      <c r="AL69" s="97">
        <v>0</v>
      </c>
      <c r="AM69" s="97">
        <v>80</v>
      </c>
      <c r="AN69" s="97">
        <v>15</v>
      </c>
      <c r="AO69" s="97">
        <v>12</v>
      </c>
      <c r="AP69" s="99">
        <v>0</v>
      </c>
      <c r="AQ69" s="97">
        <v>16</v>
      </c>
      <c r="AR69" s="63">
        <v>24</v>
      </c>
      <c r="AS69" s="62">
        <v>11</v>
      </c>
      <c r="AT69" s="62">
        <v>40</v>
      </c>
      <c r="AU69" s="62">
        <v>4</v>
      </c>
      <c r="AV69" s="62">
        <v>4</v>
      </c>
      <c r="AW69" s="62">
        <v>4</v>
      </c>
      <c r="AX69" s="58">
        <v>0</v>
      </c>
      <c r="AY69" s="62">
        <v>15</v>
      </c>
      <c r="AZ69" s="63">
        <v>15</v>
      </c>
      <c r="BA69" s="62">
        <v>48</v>
      </c>
      <c r="BB69" s="62">
        <v>2</v>
      </c>
      <c r="BC69" s="62" t="e">
        <f>VLOOKUP($B$9,#REF!,2,TRUE)</f>
        <v>#REF!</v>
      </c>
      <c r="BD69" s="62" t="s">
        <v>31</v>
      </c>
      <c r="BE69" s="62"/>
      <c r="BG69" s="48"/>
      <c r="BH69" s="48"/>
      <c r="BI69" s="48"/>
      <c r="BJ69" s="48">
        <v>8</v>
      </c>
      <c r="BK69" s="73">
        <v>8</v>
      </c>
      <c r="BL69" s="48"/>
    </row>
    <row r="70" spans="1:64" s="45" customFormat="1" ht="15.75">
      <c r="A70" s="95">
        <v>408</v>
      </c>
      <c r="B70" s="96" t="s">
        <v>672</v>
      </c>
      <c r="C70" s="97" t="s">
        <v>673</v>
      </c>
      <c r="D70" s="97" t="s">
        <v>674</v>
      </c>
      <c r="E70" s="97" t="s">
        <v>675</v>
      </c>
      <c r="F70" s="97" t="s">
        <v>676</v>
      </c>
      <c r="G70" s="96" t="s">
        <v>677</v>
      </c>
      <c r="H70" s="96" t="s">
        <v>123</v>
      </c>
      <c r="I70" s="96" t="s">
        <v>124</v>
      </c>
      <c r="J70" s="96" t="s">
        <v>678</v>
      </c>
      <c r="K70" s="98" t="s">
        <v>679</v>
      </c>
      <c r="L70" s="97">
        <v>495</v>
      </c>
      <c r="M70" s="96" t="s">
        <v>154</v>
      </c>
      <c r="N70" s="96"/>
      <c r="O70" s="97" t="s">
        <v>128</v>
      </c>
      <c r="P70" s="97" t="s">
        <v>31</v>
      </c>
      <c r="Q70" s="97" t="s">
        <v>31</v>
      </c>
      <c r="R70" s="97" t="s">
        <v>31</v>
      </c>
      <c r="S70" s="97" t="s">
        <v>177</v>
      </c>
      <c r="T70" s="97">
        <v>3</v>
      </c>
      <c r="U70" s="97">
        <v>8</v>
      </c>
      <c r="V70" s="97">
        <v>0</v>
      </c>
      <c r="W70" s="97">
        <v>2</v>
      </c>
      <c r="X70" s="97" t="s">
        <v>168</v>
      </c>
      <c r="Y70" s="97" t="s">
        <v>168</v>
      </c>
      <c r="Z70" s="97" t="e">
        <v>#N/A</v>
      </c>
      <c r="AA70" s="97" t="e">
        <v>#N/A</v>
      </c>
      <c r="AB70" s="97"/>
      <c r="AC70" s="97" t="s">
        <v>157</v>
      </c>
      <c r="AD70" s="97" t="s">
        <v>680</v>
      </c>
      <c r="AE70" s="97" t="s">
        <v>133</v>
      </c>
      <c r="AF70" s="97" t="s">
        <v>329</v>
      </c>
      <c r="AG70" s="97" t="s">
        <v>31</v>
      </c>
      <c r="AH70" s="97">
        <v>781</v>
      </c>
      <c r="AI70" s="97">
        <v>700</v>
      </c>
      <c r="AJ70" s="97">
        <v>900</v>
      </c>
      <c r="AK70" s="97">
        <v>16</v>
      </c>
      <c r="AL70" s="97">
        <v>0</v>
      </c>
      <c r="AM70" s="97">
        <v>80</v>
      </c>
      <c r="AN70" s="97">
        <v>15</v>
      </c>
      <c r="AO70" s="97">
        <v>12</v>
      </c>
      <c r="AP70" s="97">
        <v>0</v>
      </c>
      <c r="AQ70" s="97">
        <v>16</v>
      </c>
      <c r="AR70" s="63">
        <v>24</v>
      </c>
      <c r="AS70" s="62">
        <v>11</v>
      </c>
      <c r="AT70" s="62">
        <v>40</v>
      </c>
      <c r="AU70" s="62">
        <v>4</v>
      </c>
      <c r="AV70" s="62">
        <v>4</v>
      </c>
      <c r="AW70" s="62">
        <v>4</v>
      </c>
      <c r="AX70" s="62">
        <v>0</v>
      </c>
      <c r="AY70" s="62">
        <v>15</v>
      </c>
      <c r="AZ70" s="63">
        <v>15</v>
      </c>
      <c r="BA70" s="62">
        <v>48</v>
      </c>
      <c r="BB70" s="62">
        <v>2</v>
      </c>
      <c r="BC70" s="62" t="e">
        <f>VLOOKUP($B$9,#REF!,2,TRUE)</f>
        <v>#REF!</v>
      </c>
      <c r="BD70" s="62" t="s">
        <v>31</v>
      </c>
      <c r="BE70" s="62"/>
      <c r="BG70" s="48"/>
      <c r="BH70" s="48"/>
      <c r="BI70" s="48"/>
      <c r="BJ70" s="48">
        <v>8</v>
      </c>
      <c r="BK70" s="73">
        <v>8</v>
      </c>
      <c r="BL70" s="48"/>
    </row>
    <row r="71" spans="1:64" s="45" customFormat="1" ht="15.75">
      <c r="A71" s="95">
        <v>62</v>
      </c>
      <c r="B71" s="96" t="s">
        <v>695</v>
      </c>
      <c r="C71" s="97" t="s">
        <v>696</v>
      </c>
      <c r="D71" s="97" t="s">
        <v>697</v>
      </c>
      <c r="E71" s="97" t="s">
        <v>698</v>
      </c>
      <c r="F71" s="97" t="s">
        <v>399</v>
      </c>
      <c r="G71" s="96" t="s">
        <v>699</v>
      </c>
      <c r="H71" s="96" t="s">
        <v>123</v>
      </c>
      <c r="I71" s="96" t="s">
        <v>401</v>
      </c>
      <c r="J71" s="96" t="s">
        <v>700</v>
      </c>
      <c r="K71" s="98" t="s">
        <v>701</v>
      </c>
      <c r="L71" s="97">
        <v>621</v>
      </c>
      <c r="M71" s="96" t="s">
        <v>154</v>
      </c>
      <c r="N71" s="96"/>
      <c r="O71" s="97" t="s">
        <v>128</v>
      </c>
      <c r="P71" s="97" t="s">
        <v>31</v>
      </c>
      <c r="Q71" s="97" t="s">
        <v>31</v>
      </c>
      <c r="R71" s="97" t="s">
        <v>31</v>
      </c>
      <c r="S71" s="97" t="s">
        <v>238</v>
      </c>
      <c r="T71" s="97">
        <v>3</v>
      </c>
      <c r="U71" s="97">
        <v>8</v>
      </c>
      <c r="V71" s="97">
        <v>0</v>
      </c>
      <c r="W71" s="97">
        <v>2</v>
      </c>
      <c r="X71" s="97" t="s">
        <v>168</v>
      </c>
      <c r="Y71" s="97" t="s">
        <v>168</v>
      </c>
      <c r="Z71" s="97" t="e">
        <v>#N/A</v>
      </c>
      <c r="AA71" s="97" t="e">
        <v>#N/A</v>
      </c>
      <c r="AB71" s="97"/>
      <c r="AC71" s="97" t="s">
        <v>157</v>
      </c>
      <c r="AD71" s="97" t="s">
        <v>132</v>
      </c>
      <c r="AE71" s="97" t="s">
        <v>133</v>
      </c>
      <c r="AF71" s="97" t="s">
        <v>329</v>
      </c>
      <c r="AG71" s="97" t="s">
        <v>31</v>
      </c>
      <c r="AH71" s="97">
        <v>781</v>
      </c>
      <c r="AI71" s="97">
        <v>500</v>
      </c>
      <c r="AJ71" s="97" t="s">
        <v>369</v>
      </c>
      <c r="AK71" s="97">
        <v>16</v>
      </c>
      <c r="AL71" s="97">
        <v>0</v>
      </c>
      <c r="AM71" s="97">
        <v>80</v>
      </c>
      <c r="AN71" s="97">
        <v>15</v>
      </c>
      <c r="AO71" s="97">
        <v>12</v>
      </c>
      <c r="AP71" s="99">
        <v>0</v>
      </c>
      <c r="AQ71" s="97">
        <v>16</v>
      </c>
      <c r="AR71" s="61">
        <v>24</v>
      </c>
      <c r="AS71" s="60">
        <v>11</v>
      </c>
      <c r="AT71" s="60">
        <v>40</v>
      </c>
      <c r="AU71" s="60">
        <v>4</v>
      </c>
      <c r="AV71" s="60">
        <v>4</v>
      </c>
      <c r="AW71" s="60">
        <v>4</v>
      </c>
      <c r="AX71" s="64">
        <v>0</v>
      </c>
      <c r="AY71" s="60">
        <v>15</v>
      </c>
      <c r="AZ71" s="61">
        <v>15</v>
      </c>
      <c r="BA71" s="60">
        <v>48</v>
      </c>
      <c r="BB71" s="60">
        <v>2</v>
      </c>
      <c r="BC71" s="60" t="e">
        <f>VLOOKUP($B$9,#REF!,2,TRUE)</f>
        <v>#REF!</v>
      </c>
      <c r="BD71" s="60" t="s">
        <v>31</v>
      </c>
      <c r="BE71" s="60"/>
      <c r="BG71" s="48"/>
      <c r="BH71" s="48"/>
      <c r="BI71" s="48"/>
      <c r="BJ71" s="48">
        <v>8</v>
      </c>
      <c r="BK71" s="73">
        <v>8</v>
      </c>
      <c r="BL71" s="48"/>
    </row>
    <row r="72" spans="1:64" s="45" customFormat="1" ht="15.75">
      <c r="A72" s="95">
        <v>43</v>
      </c>
      <c r="B72" s="96" t="s">
        <v>702</v>
      </c>
      <c r="C72" s="97" t="s">
        <v>703</v>
      </c>
      <c r="D72" s="97" t="s">
        <v>358</v>
      </c>
      <c r="E72" s="97" t="s">
        <v>704</v>
      </c>
      <c r="F72" s="97" t="s">
        <v>705</v>
      </c>
      <c r="G72" s="96" t="s">
        <v>706</v>
      </c>
      <c r="H72" s="96" t="s">
        <v>123</v>
      </c>
      <c r="I72" s="96" t="s">
        <v>124</v>
      </c>
      <c r="J72" s="96" t="s">
        <v>707</v>
      </c>
      <c r="K72" s="98" t="s">
        <v>679</v>
      </c>
      <c r="L72" s="97">
        <v>638</v>
      </c>
      <c r="M72" s="96" t="s">
        <v>154</v>
      </c>
      <c r="N72" s="96"/>
      <c r="O72" s="97" t="s">
        <v>128</v>
      </c>
      <c r="P72" s="97" t="s">
        <v>31</v>
      </c>
      <c r="Q72" s="97" t="s">
        <v>31</v>
      </c>
      <c r="R72" s="97" t="s">
        <v>31</v>
      </c>
      <c r="S72" s="97" t="s">
        <v>177</v>
      </c>
      <c r="T72" s="97">
        <v>3</v>
      </c>
      <c r="U72" s="97">
        <v>8</v>
      </c>
      <c r="V72" s="97">
        <v>0</v>
      </c>
      <c r="W72" s="97">
        <v>0</v>
      </c>
      <c r="X72" s="97" t="e">
        <v>#N/A</v>
      </c>
      <c r="Y72" s="97" t="e">
        <v>#N/A</v>
      </c>
      <c r="Z72" s="97" t="e">
        <v>#N/A</v>
      </c>
      <c r="AA72" s="97" t="e">
        <v>#N/A</v>
      </c>
      <c r="AB72" s="97"/>
      <c r="AC72" s="97" t="s">
        <v>157</v>
      </c>
      <c r="AD72" s="97" t="s">
        <v>132</v>
      </c>
      <c r="AE72" s="97" t="s">
        <v>133</v>
      </c>
      <c r="AF72" s="97" t="s">
        <v>329</v>
      </c>
      <c r="AG72" s="97" t="s">
        <v>31</v>
      </c>
      <c r="AH72" s="97">
        <v>781</v>
      </c>
      <c r="AI72" s="97"/>
      <c r="AJ72" s="97" t="s">
        <v>135</v>
      </c>
      <c r="AK72" s="97">
        <v>16</v>
      </c>
      <c r="AL72" s="97">
        <v>0</v>
      </c>
      <c r="AM72" s="97">
        <v>80</v>
      </c>
      <c r="AN72" s="97">
        <v>15</v>
      </c>
      <c r="AO72" s="97">
        <v>12</v>
      </c>
      <c r="AP72" s="97">
        <v>0</v>
      </c>
      <c r="AQ72" s="97">
        <v>16</v>
      </c>
      <c r="AR72" s="63">
        <v>24</v>
      </c>
      <c r="AS72" s="62">
        <v>11</v>
      </c>
      <c r="AT72" s="62">
        <v>40</v>
      </c>
      <c r="AU72" s="62">
        <v>4</v>
      </c>
      <c r="AV72" s="62">
        <v>4</v>
      </c>
      <c r="AW72" s="62">
        <v>4</v>
      </c>
      <c r="AX72" s="62">
        <v>0</v>
      </c>
      <c r="AY72" s="62">
        <v>15</v>
      </c>
      <c r="AZ72" s="63">
        <v>15</v>
      </c>
      <c r="BA72" s="62">
        <v>48</v>
      </c>
      <c r="BB72" s="62">
        <v>2</v>
      </c>
      <c r="BC72" s="62" t="e">
        <f>VLOOKUP($B$9,#REF!,2,TRUE)</f>
        <v>#REF!</v>
      </c>
      <c r="BD72" s="62" t="s">
        <v>31</v>
      </c>
      <c r="BE72" s="62"/>
      <c r="BG72" s="48"/>
      <c r="BH72" s="48"/>
      <c r="BI72" s="48"/>
      <c r="BJ72" s="48">
        <v>8</v>
      </c>
      <c r="BK72" s="73">
        <v>8</v>
      </c>
      <c r="BL72" s="48"/>
    </row>
    <row r="73" spans="1:64" s="45" customFormat="1" ht="15.75">
      <c r="A73" s="95">
        <v>59</v>
      </c>
      <c r="B73" s="96" t="s">
        <v>778</v>
      </c>
      <c r="C73" s="97" t="s">
        <v>779</v>
      </c>
      <c r="D73" s="97" t="s">
        <v>358</v>
      </c>
      <c r="E73" s="97" t="s">
        <v>780</v>
      </c>
      <c r="F73" s="97" t="s">
        <v>580</v>
      </c>
      <c r="G73" s="96" t="s">
        <v>781</v>
      </c>
      <c r="H73" s="96" t="s">
        <v>123</v>
      </c>
      <c r="I73" s="96" t="s">
        <v>124</v>
      </c>
      <c r="J73" s="96" t="s">
        <v>782</v>
      </c>
      <c r="K73" s="98" t="s">
        <v>574</v>
      </c>
      <c r="L73" s="97">
        <v>600</v>
      </c>
      <c r="M73" s="96" t="s">
        <v>154</v>
      </c>
      <c r="N73" s="96"/>
      <c r="O73" s="97" t="s">
        <v>128</v>
      </c>
      <c r="P73" s="97" t="s">
        <v>31</v>
      </c>
      <c r="Q73" s="97" t="s">
        <v>31</v>
      </c>
      <c r="R73" s="97" t="s">
        <v>31</v>
      </c>
      <c r="S73" s="97" t="s">
        <v>177</v>
      </c>
      <c r="T73" s="97">
        <v>3</v>
      </c>
      <c r="U73" s="97">
        <v>8</v>
      </c>
      <c r="V73" s="97">
        <v>0</v>
      </c>
      <c r="W73" s="97">
        <v>2</v>
      </c>
      <c r="X73" s="97" t="s">
        <v>168</v>
      </c>
      <c r="Y73" s="97" t="s">
        <v>168</v>
      </c>
      <c r="Z73" s="97" t="e">
        <v>#N/A</v>
      </c>
      <c r="AA73" s="97" t="e">
        <v>#N/A</v>
      </c>
      <c r="AB73" s="97"/>
      <c r="AC73" s="97" t="s">
        <v>157</v>
      </c>
      <c r="AD73" s="97" t="s">
        <v>132</v>
      </c>
      <c r="AE73" s="97" t="s">
        <v>133</v>
      </c>
      <c r="AF73" s="97" t="s">
        <v>329</v>
      </c>
      <c r="AG73" s="97" t="s">
        <v>31</v>
      </c>
      <c r="AH73" s="97">
        <v>781</v>
      </c>
      <c r="AI73" s="97"/>
      <c r="AJ73" s="97" t="s">
        <v>135</v>
      </c>
      <c r="AK73" s="97">
        <v>16</v>
      </c>
      <c r="AL73" s="97">
        <v>0</v>
      </c>
      <c r="AM73" s="97">
        <v>80</v>
      </c>
      <c r="AN73" s="97">
        <v>15</v>
      </c>
      <c r="AO73" s="97">
        <v>12</v>
      </c>
      <c r="AP73" s="99">
        <v>0</v>
      </c>
      <c r="AQ73" s="97">
        <v>16</v>
      </c>
      <c r="AR73" s="63">
        <v>24</v>
      </c>
      <c r="AS73" s="62">
        <v>11</v>
      </c>
      <c r="AT73" s="62">
        <v>40</v>
      </c>
      <c r="AU73" s="62">
        <v>4</v>
      </c>
      <c r="AV73" s="62">
        <v>4</v>
      </c>
      <c r="AW73" s="62">
        <v>4</v>
      </c>
      <c r="AX73" s="58">
        <v>0</v>
      </c>
      <c r="AY73" s="62">
        <v>15</v>
      </c>
      <c r="AZ73" s="63">
        <v>15</v>
      </c>
      <c r="BA73" s="62">
        <v>48</v>
      </c>
      <c r="BB73" s="62">
        <v>2</v>
      </c>
      <c r="BC73" s="62" t="e">
        <f>VLOOKUP($B$9,#REF!,2,TRUE)</f>
        <v>#REF!</v>
      </c>
      <c r="BD73" s="62" t="s">
        <v>31</v>
      </c>
      <c r="BE73" s="62"/>
      <c r="BG73" s="48"/>
      <c r="BH73" s="48"/>
      <c r="BI73" s="48"/>
      <c r="BJ73" s="48">
        <v>8</v>
      </c>
      <c r="BK73" s="73">
        <v>8</v>
      </c>
      <c r="BL73" s="48"/>
    </row>
    <row r="74" spans="1:64" s="45" customFormat="1" ht="15.75">
      <c r="A74" s="95">
        <v>65</v>
      </c>
      <c r="B74" s="96" t="s">
        <v>802</v>
      </c>
      <c r="C74" s="97" t="s">
        <v>803</v>
      </c>
      <c r="D74" s="97" t="s">
        <v>804</v>
      </c>
      <c r="E74" s="97" t="s">
        <v>805</v>
      </c>
      <c r="F74" s="97" t="s">
        <v>806</v>
      </c>
      <c r="G74" s="96" t="s">
        <v>807</v>
      </c>
      <c r="H74" s="96" t="s">
        <v>123</v>
      </c>
      <c r="I74" s="96" t="s">
        <v>151</v>
      </c>
      <c r="J74" s="96" t="s">
        <v>808</v>
      </c>
      <c r="K74" s="98" t="s">
        <v>492</v>
      </c>
      <c r="L74" s="97">
        <v>644</v>
      </c>
      <c r="M74" s="96" t="s">
        <v>154</v>
      </c>
      <c r="N74" s="96"/>
      <c r="O74" s="97" t="s">
        <v>284</v>
      </c>
      <c r="P74" s="97" t="s">
        <v>31</v>
      </c>
      <c r="Q74" s="97" t="s">
        <v>31</v>
      </c>
      <c r="R74" s="97" t="s">
        <v>31</v>
      </c>
      <c r="S74" s="97" t="s">
        <v>238</v>
      </c>
      <c r="T74" s="97">
        <v>3</v>
      </c>
      <c r="U74" s="97">
        <v>8</v>
      </c>
      <c r="V74" s="97">
        <v>0</v>
      </c>
      <c r="W74" s="97">
        <v>2</v>
      </c>
      <c r="X74" s="97" t="s">
        <v>168</v>
      </c>
      <c r="Y74" s="97" t="s">
        <v>168</v>
      </c>
      <c r="Z74" s="97" t="e">
        <v>#N/A</v>
      </c>
      <c r="AA74" s="97" t="e">
        <v>#N/A</v>
      </c>
      <c r="AB74" s="97"/>
      <c r="AC74" s="97" t="s">
        <v>157</v>
      </c>
      <c r="AD74" s="97" t="s">
        <v>132</v>
      </c>
      <c r="AE74" s="97" t="s">
        <v>169</v>
      </c>
      <c r="AF74" s="97" t="s">
        <v>134</v>
      </c>
      <c r="AG74" s="97" t="s">
        <v>31</v>
      </c>
      <c r="AH74" s="97">
        <v>781</v>
      </c>
      <c r="AI74" s="97"/>
      <c r="AJ74" s="97" t="s">
        <v>135</v>
      </c>
      <c r="AK74" s="97">
        <v>16</v>
      </c>
      <c r="AL74" s="97">
        <v>0</v>
      </c>
      <c r="AM74" s="97">
        <v>80</v>
      </c>
      <c r="AN74" s="97">
        <v>15</v>
      </c>
      <c r="AO74" s="97">
        <v>12</v>
      </c>
      <c r="AP74" s="97">
        <v>0</v>
      </c>
      <c r="AQ74" s="97">
        <v>16</v>
      </c>
      <c r="AR74" s="63">
        <v>24</v>
      </c>
      <c r="AS74" s="62">
        <v>11</v>
      </c>
      <c r="AT74" s="62">
        <v>40</v>
      </c>
      <c r="AU74" s="62">
        <v>4</v>
      </c>
      <c r="AV74" s="62">
        <v>4</v>
      </c>
      <c r="AW74" s="62">
        <v>4</v>
      </c>
      <c r="AX74" s="62">
        <v>0</v>
      </c>
      <c r="AY74" s="62">
        <v>15</v>
      </c>
      <c r="AZ74" s="63">
        <v>15</v>
      </c>
      <c r="BA74" s="62">
        <v>48</v>
      </c>
      <c r="BB74" s="62">
        <v>2</v>
      </c>
      <c r="BC74" s="62" t="e">
        <f>VLOOKUP($B$9,#REF!,2,TRUE)</f>
        <v>#REF!</v>
      </c>
      <c r="BD74" s="62" t="s">
        <v>31</v>
      </c>
      <c r="BE74" s="62"/>
      <c r="BG74" s="48"/>
      <c r="BH74" s="48"/>
      <c r="BI74" s="48"/>
      <c r="BJ74" s="48">
        <v>8</v>
      </c>
      <c r="BK74" s="73">
        <v>8</v>
      </c>
      <c r="BL74" s="48"/>
    </row>
    <row r="75" spans="1:64" s="45" customFormat="1" ht="15.75">
      <c r="A75" s="95">
        <v>30</v>
      </c>
      <c r="B75" s="96" t="s">
        <v>827</v>
      </c>
      <c r="C75" s="97" t="s">
        <v>828</v>
      </c>
      <c r="D75" s="97" t="s">
        <v>829</v>
      </c>
      <c r="E75" s="97" t="s">
        <v>830</v>
      </c>
      <c r="F75" s="97" t="s">
        <v>705</v>
      </c>
      <c r="G75" s="96" t="s">
        <v>831</v>
      </c>
      <c r="H75" s="96" t="s">
        <v>123</v>
      </c>
      <c r="I75" s="96" t="s">
        <v>124</v>
      </c>
      <c r="J75" s="96" t="s">
        <v>832</v>
      </c>
      <c r="K75" s="98" t="s">
        <v>679</v>
      </c>
      <c r="L75" s="97">
        <v>584</v>
      </c>
      <c r="M75" s="96" t="s">
        <v>154</v>
      </c>
      <c r="N75" s="96"/>
      <c r="O75" s="97" t="s">
        <v>128</v>
      </c>
      <c r="P75" s="97" t="s">
        <v>31</v>
      </c>
      <c r="Q75" s="97" t="s">
        <v>31</v>
      </c>
      <c r="R75" s="97" t="s">
        <v>31</v>
      </c>
      <c r="S75" s="97" t="s">
        <v>167</v>
      </c>
      <c r="T75" s="97">
        <v>2</v>
      </c>
      <c r="U75" s="97">
        <v>8</v>
      </c>
      <c r="V75" s="97">
        <v>0</v>
      </c>
      <c r="W75" s="97">
        <v>2</v>
      </c>
      <c r="X75" s="97" t="s">
        <v>168</v>
      </c>
      <c r="Y75" s="97" t="s">
        <v>168</v>
      </c>
      <c r="Z75" s="97" t="e">
        <v>#N/A</v>
      </c>
      <c r="AA75" s="97" t="e">
        <v>#N/A</v>
      </c>
      <c r="AB75" s="97"/>
      <c r="AC75" s="97" t="s">
        <v>157</v>
      </c>
      <c r="AD75" s="97" t="s">
        <v>132</v>
      </c>
      <c r="AE75" s="97" t="s">
        <v>133</v>
      </c>
      <c r="AF75" s="97" t="s">
        <v>329</v>
      </c>
      <c r="AG75" s="97" t="s">
        <v>31</v>
      </c>
      <c r="AH75" s="97">
        <v>734</v>
      </c>
      <c r="AI75" s="97"/>
      <c r="AJ75" s="97" t="s">
        <v>135</v>
      </c>
      <c r="AK75" s="97">
        <v>16</v>
      </c>
      <c r="AL75" s="97">
        <v>0</v>
      </c>
      <c r="AM75" s="97">
        <v>80</v>
      </c>
      <c r="AN75" s="97">
        <v>10</v>
      </c>
      <c r="AO75" s="97">
        <v>8</v>
      </c>
      <c r="AP75" s="99">
        <v>0</v>
      </c>
      <c r="AQ75" s="97">
        <v>16</v>
      </c>
      <c r="AR75" s="63">
        <v>23</v>
      </c>
      <c r="AS75" s="62">
        <v>10</v>
      </c>
      <c r="AT75" s="62">
        <v>40</v>
      </c>
      <c r="AU75" s="62">
        <v>4</v>
      </c>
      <c r="AV75" s="62">
        <v>4</v>
      </c>
      <c r="AW75" s="62">
        <v>4</v>
      </c>
      <c r="AX75" s="58">
        <v>0</v>
      </c>
      <c r="AY75" s="62">
        <v>15</v>
      </c>
      <c r="AZ75" s="63">
        <v>15</v>
      </c>
      <c r="BA75" s="62">
        <v>48</v>
      </c>
      <c r="BB75" s="62">
        <v>2</v>
      </c>
      <c r="BC75" s="62" t="e">
        <f>VLOOKUP($B$9,#REF!,2,TRUE)</f>
        <v>#REF!</v>
      </c>
      <c r="BD75" s="62" t="s">
        <v>31</v>
      </c>
      <c r="BE75" s="62"/>
      <c r="BG75" s="48"/>
      <c r="BH75" s="48"/>
      <c r="BI75" s="48"/>
      <c r="BJ75" s="48">
        <v>8</v>
      </c>
      <c r="BK75" s="73">
        <v>8</v>
      </c>
      <c r="BL75" s="48"/>
    </row>
    <row r="76" spans="1:64" s="45" customFormat="1" ht="15.75">
      <c r="A76" s="95">
        <v>78</v>
      </c>
      <c r="B76" s="96" t="s">
        <v>833</v>
      </c>
      <c r="C76" s="97" t="s">
        <v>834</v>
      </c>
      <c r="D76" s="97" t="s">
        <v>835</v>
      </c>
      <c r="E76" s="97" t="s">
        <v>836</v>
      </c>
      <c r="F76" s="97" t="s">
        <v>837</v>
      </c>
      <c r="G76" s="96" t="s">
        <v>838</v>
      </c>
      <c r="H76" s="96" t="s">
        <v>123</v>
      </c>
      <c r="I76" s="96" t="s">
        <v>326</v>
      </c>
      <c r="J76" s="96" t="s">
        <v>839</v>
      </c>
      <c r="K76" s="98" t="s">
        <v>659</v>
      </c>
      <c r="L76" s="97">
        <v>587</v>
      </c>
      <c r="M76" s="96" t="s">
        <v>154</v>
      </c>
      <c r="N76" s="96"/>
      <c r="O76" s="97" t="s">
        <v>128</v>
      </c>
      <c r="P76" s="97" t="s">
        <v>31</v>
      </c>
      <c r="Q76" s="97" t="s">
        <v>31</v>
      </c>
      <c r="R76" s="97" t="s">
        <v>31</v>
      </c>
      <c r="S76" s="97" t="s">
        <v>238</v>
      </c>
      <c r="T76" s="97">
        <v>3</v>
      </c>
      <c r="U76" s="97">
        <v>8</v>
      </c>
      <c r="V76" s="97">
        <v>0</v>
      </c>
      <c r="W76" s="97">
        <v>2</v>
      </c>
      <c r="X76" s="97" t="s">
        <v>168</v>
      </c>
      <c r="Y76" s="97" t="s">
        <v>168</v>
      </c>
      <c r="Z76" s="97" t="e">
        <v>#N/A</v>
      </c>
      <c r="AA76" s="97" t="e">
        <v>#N/A</v>
      </c>
      <c r="AB76" s="97"/>
      <c r="AC76" s="97" t="s">
        <v>157</v>
      </c>
      <c r="AD76" s="97" t="s">
        <v>132</v>
      </c>
      <c r="AE76" s="97" t="s">
        <v>133</v>
      </c>
      <c r="AF76" s="97" t="s">
        <v>329</v>
      </c>
      <c r="AG76" s="97" t="s">
        <v>31</v>
      </c>
      <c r="AH76" s="97">
        <v>781</v>
      </c>
      <c r="AI76" s="97"/>
      <c r="AJ76" s="97" t="s">
        <v>135</v>
      </c>
      <c r="AK76" s="97">
        <v>16</v>
      </c>
      <c r="AL76" s="97">
        <v>0</v>
      </c>
      <c r="AM76" s="97">
        <v>80</v>
      </c>
      <c r="AN76" s="97">
        <v>15</v>
      </c>
      <c r="AO76" s="97">
        <v>12</v>
      </c>
      <c r="AP76" s="97">
        <v>0</v>
      </c>
      <c r="AQ76" s="97">
        <v>16</v>
      </c>
      <c r="AR76" s="61">
        <v>24</v>
      </c>
      <c r="AS76" s="60">
        <v>11</v>
      </c>
      <c r="AT76" s="60">
        <v>40</v>
      </c>
      <c r="AU76" s="60">
        <v>4</v>
      </c>
      <c r="AV76" s="60">
        <v>4</v>
      </c>
      <c r="AW76" s="60">
        <v>4</v>
      </c>
      <c r="AX76" s="60">
        <v>0</v>
      </c>
      <c r="AY76" s="60">
        <v>15</v>
      </c>
      <c r="AZ76" s="61">
        <v>15</v>
      </c>
      <c r="BA76" s="60">
        <v>48</v>
      </c>
      <c r="BB76" s="60">
        <v>2</v>
      </c>
      <c r="BC76" s="60" t="e">
        <f>VLOOKUP($B$9,#REF!,2,TRUE)</f>
        <v>#REF!</v>
      </c>
      <c r="BD76" s="60" t="s">
        <v>31</v>
      </c>
      <c r="BE76" s="60"/>
      <c r="BG76" s="48"/>
      <c r="BH76" s="48"/>
      <c r="BI76" s="48"/>
      <c r="BJ76" s="48">
        <v>8</v>
      </c>
      <c r="BK76" s="73">
        <v>8</v>
      </c>
      <c r="BL76" s="48"/>
    </row>
    <row r="77" spans="1:64" s="45" customFormat="1" ht="15.75">
      <c r="A77" s="95">
        <v>55</v>
      </c>
      <c r="B77" s="96" t="s">
        <v>876</v>
      </c>
      <c r="C77" s="97" t="s">
        <v>877</v>
      </c>
      <c r="D77" s="97" t="s">
        <v>878</v>
      </c>
      <c r="E77" s="97" t="s">
        <v>879</v>
      </c>
      <c r="F77" s="97" t="s">
        <v>880</v>
      </c>
      <c r="G77" s="96" t="s">
        <v>881</v>
      </c>
      <c r="H77" s="96" t="s">
        <v>137</v>
      </c>
      <c r="I77" s="96" t="s">
        <v>882</v>
      </c>
      <c r="J77" s="96" t="s">
        <v>883</v>
      </c>
      <c r="K77" s="98" t="s">
        <v>884</v>
      </c>
      <c r="L77" s="97">
        <v>600</v>
      </c>
      <c r="M77" s="96" t="s">
        <v>154</v>
      </c>
      <c r="N77" s="96"/>
      <c r="O77" s="97" t="s">
        <v>128</v>
      </c>
      <c r="P77" s="97" t="s">
        <v>31</v>
      </c>
      <c r="Q77" s="97" t="s">
        <v>31</v>
      </c>
      <c r="R77" s="97" t="s">
        <v>31</v>
      </c>
      <c r="S77" s="97" t="s">
        <v>177</v>
      </c>
      <c r="T77" s="97">
        <v>3</v>
      </c>
      <c r="U77" s="97">
        <v>8</v>
      </c>
      <c r="V77" s="97">
        <v>0</v>
      </c>
      <c r="W77" s="97">
        <v>1</v>
      </c>
      <c r="X77" s="97" t="s">
        <v>168</v>
      </c>
      <c r="Y77" s="97" t="e">
        <v>#N/A</v>
      </c>
      <c r="Z77" s="97" t="e">
        <v>#N/A</v>
      </c>
      <c r="AA77" s="97" t="e">
        <v>#N/A</v>
      </c>
      <c r="AB77" s="97"/>
      <c r="AC77" s="97" t="s">
        <v>157</v>
      </c>
      <c r="AD77" s="97" t="s">
        <v>132</v>
      </c>
      <c r="AE77" s="97" t="s">
        <v>133</v>
      </c>
      <c r="AF77" s="97" t="s">
        <v>329</v>
      </c>
      <c r="AG77" s="97" t="s">
        <v>31</v>
      </c>
      <c r="AH77" s="97">
        <v>781</v>
      </c>
      <c r="AI77" s="97"/>
      <c r="AJ77" s="97" t="s">
        <v>135</v>
      </c>
      <c r="AK77" s="97">
        <v>16</v>
      </c>
      <c r="AL77" s="97">
        <v>0</v>
      </c>
      <c r="AM77" s="97">
        <v>80</v>
      </c>
      <c r="AN77" s="97">
        <v>15</v>
      </c>
      <c r="AO77" s="97">
        <v>12</v>
      </c>
      <c r="AP77" s="99">
        <v>0</v>
      </c>
      <c r="AQ77" s="97">
        <v>16</v>
      </c>
      <c r="AR77" s="61">
        <v>24</v>
      </c>
      <c r="AS77" s="60">
        <v>11</v>
      </c>
      <c r="AT77" s="60">
        <v>40</v>
      </c>
      <c r="AU77" s="60">
        <v>4</v>
      </c>
      <c r="AV77" s="60">
        <v>4</v>
      </c>
      <c r="AW77" s="60">
        <v>4</v>
      </c>
      <c r="AX77" s="64">
        <v>0</v>
      </c>
      <c r="AY77" s="60">
        <v>15</v>
      </c>
      <c r="AZ77" s="61">
        <v>15</v>
      </c>
      <c r="BA77" s="60">
        <v>48</v>
      </c>
      <c r="BB77" s="60">
        <v>2</v>
      </c>
      <c r="BC77" s="60" t="e">
        <f>VLOOKUP($B$9,#REF!,2,TRUE)</f>
        <v>#REF!</v>
      </c>
      <c r="BD77" s="60" t="s">
        <v>31</v>
      </c>
      <c r="BE77" s="60"/>
      <c r="BG77" s="48"/>
      <c r="BH77" s="48"/>
      <c r="BI77" s="48"/>
      <c r="BJ77" s="48">
        <v>8</v>
      </c>
      <c r="BK77" s="73">
        <v>8</v>
      </c>
      <c r="BL77" s="48"/>
    </row>
    <row r="78" spans="1:64" s="45" customFormat="1" ht="15.75">
      <c r="A78" s="95">
        <v>15</v>
      </c>
      <c r="B78" s="96" t="s">
        <v>1005</v>
      </c>
      <c r="C78" s="97" t="s">
        <v>1006</v>
      </c>
      <c r="D78" s="97" t="s">
        <v>1007</v>
      </c>
      <c r="E78" s="97" t="s">
        <v>121</v>
      </c>
      <c r="F78" s="97" t="s">
        <v>122</v>
      </c>
      <c r="G78" s="96" t="s">
        <v>1008</v>
      </c>
      <c r="H78" s="96" t="s">
        <v>123</v>
      </c>
      <c r="I78" s="96" t="s">
        <v>124</v>
      </c>
      <c r="J78" s="101" t="s">
        <v>1009</v>
      </c>
      <c r="K78" s="98" t="s">
        <v>126</v>
      </c>
      <c r="L78" s="97">
        <v>643</v>
      </c>
      <c r="M78" s="97"/>
      <c r="N78" s="97"/>
      <c r="O78" s="97" t="s">
        <v>128</v>
      </c>
      <c r="P78" s="97" t="s">
        <v>31</v>
      </c>
      <c r="Q78" s="97" t="s">
        <v>31</v>
      </c>
      <c r="R78" s="97" t="s">
        <v>31</v>
      </c>
      <c r="S78" s="97" t="s">
        <v>177</v>
      </c>
      <c r="T78" s="97">
        <v>3</v>
      </c>
      <c r="U78" s="97">
        <v>8</v>
      </c>
      <c r="V78" s="97">
        <v>0</v>
      </c>
      <c r="W78" s="97">
        <v>0</v>
      </c>
      <c r="X78" s="97" t="e">
        <v>#N/A</v>
      </c>
      <c r="Y78" s="97" t="e">
        <v>#N/A</v>
      </c>
      <c r="Z78" s="97" t="e">
        <v>#N/A</v>
      </c>
      <c r="AA78" s="97" t="e">
        <v>#N/A</v>
      </c>
      <c r="AB78" s="97"/>
      <c r="AC78" s="97" t="s">
        <v>157</v>
      </c>
      <c r="AD78" s="97" t="s">
        <v>132</v>
      </c>
      <c r="AE78" s="97" t="s">
        <v>133</v>
      </c>
      <c r="AF78" s="97" t="s">
        <v>134</v>
      </c>
      <c r="AG78" s="97" t="s">
        <v>31</v>
      </c>
      <c r="AH78" s="97">
        <v>781</v>
      </c>
      <c r="AI78" s="97"/>
      <c r="AJ78" s="97" t="s">
        <v>135</v>
      </c>
      <c r="AK78" s="97">
        <v>16</v>
      </c>
      <c r="AL78" s="97">
        <v>0</v>
      </c>
      <c r="AM78" s="97">
        <v>80</v>
      </c>
      <c r="AN78" s="97">
        <v>15</v>
      </c>
      <c r="AO78" s="97">
        <v>12</v>
      </c>
      <c r="AP78" s="97">
        <v>0</v>
      </c>
      <c r="AQ78" s="97">
        <v>16</v>
      </c>
      <c r="AR78" s="63">
        <v>24</v>
      </c>
      <c r="AS78" s="62">
        <v>11</v>
      </c>
      <c r="AT78" s="62">
        <v>40</v>
      </c>
      <c r="AU78" s="62">
        <v>4</v>
      </c>
      <c r="AV78" s="62">
        <v>4</v>
      </c>
      <c r="AW78" s="62">
        <v>4</v>
      </c>
      <c r="AX78" s="62">
        <v>0</v>
      </c>
      <c r="AY78" s="62">
        <v>15</v>
      </c>
      <c r="AZ78" s="63">
        <v>15</v>
      </c>
      <c r="BA78" s="62">
        <v>48</v>
      </c>
      <c r="BB78" s="62">
        <v>2</v>
      </c>
      <c r="BC78" s="62" t="e">
        <f>VLOOKUP($B$9,#REF!,2,TRUE)</f>
        <v>#REF!</v>
      </c>
      <c r="BD78" s="62" t="s">
        <v>31</v>
      </c>
      <c r="BE78" s="62"/>
      <c r="BG78" s="48"/>
      <c r="BH78" s="48"/>
      <c r="BI78" s="48"/>
      <c r="BJ78" s="48">
        <v>8</v>
      </c>
      <c r="BK78" s="73">
        <v>8</v>
      </c>
      <c r="BL78" s="48"/>
    </row>
    <row r="79" spans="1:64" s="45" customFormat="1" ht="15.75">
      <c r="A79" s="95">
        <v>434</v>
      </c>
      <c r="B79" s="96" t="s">
        <v>1010</v>
      </c>
      <c r="C79" s="97" t="s">
        <v>1011</v>
      </c>
      <c r="D79" s="97" t="s">
        <v>1012</v>
      </c>
      <c r="E79" s="97" t="s">
        <v>295</v>
      </c>
      <c r="F79" s="97" t="s">
        <v>852</v>
      </c>
      <c r="G79" s="96" t="s">
        <v>1013</v>
      </c>
      <c r="H79" s="96" t="s">
        <v>123</v>
      </c>
      <c r="I79" s="96" t="s">
        <v>326</v>
      </c>
      <c r="J79" s="96" t="s">
        <v>1014</v>
      </c>
      <c r="K79" s="98" t="s">
        <v>855</v>
      </c>
      <c r="L79" s="97">
        <v>518</v>
      </c>
      <c r="M79" s="96" t="s">
        <v>154</v>
      </c>
      <c r="N79" s="96"/>
      <c r="O79" s="97" t="s">
        <v>128</v>
      </c>
      <c r="P79" s="97" t="s">
        <v>31</v>
      </c>
      <c r="Q79" s="97" t="s">
        <v>31</v>
      </c>
      <c r="R79" s="97" t="s">
        <v>31</v>
      </c>
      <c r="S79" s="97" t="s">
        <v>167</v>
      </c>
      <c r="T79" s="97">
        <v>2</v>
      </c>
      <c r="U79" s="97">
        <v>8</v>
      </c>
      <c r="V79" s="97">
        <v>0</v>
      </c>
      <c r="W79" s="97">
        <v>2</v>
      </c>
      <c r="X79" s="97" t="s">
        <v>168</v>
      </c>
      <c r="Y79" s="97" t="s">
        <v>168</v>
      </c>
      <c r="Z79" s="97" t="e">
        <v>#N/A</v>
      </c>
      <c r="AA79" s="97" t="e">
        <v>#N/A</v>
      </c>
      <c r="AB79" s="97"/>
      <c r="AC79" s="97" t="s">
        <v>157</v>
      </c>
      <c r="AD79" s="97" t="s">
        <v>132</v>
      </c>
      <c r="AE79" s="97" t="s">
        <v>133</v>
      </c>
      <c r="AF79" s="97" t="s">
        <v>329</v>
      </c>
      <c r="AG79" s="97" t="s">
        <v>31</v>
      </c>
      <c r="AH79" s="97">
        <v>734</v>
      </c>
      <c r="AI79" s="97">
        <v>500</v>
      </c>
      <c r="AJ79" s="97" t="s">
        <v>369</v>
      </c>
      <c r="AK79" s="97">
        <v>16</v>
      </c>
      <c r="AL79" s="97">
        <v>0</v>
      </c>
      <c r="AM79" s="97">
        <v>80</v>
      </c>
      <c r="AN79" s="97">
        <v>10</v>
      </c>
      <c r="AO79" s="97">
        <v>8</v>
      </c>
      <c r="AP79" s="99">
        <v>0</v>
      </c>
      <c r="AQ79" s="97">
        <v>16</v>
      </c>
      <c r="AR79" s="61">
        <v>23</v>
      </c>
      <c r="AS79" s="60">
        <v>10</v>
      </c>
      <c r="AT79" s="60">
        <v>40</v>
      </c>
      <c r="AU79" s="60">
        <v>4</v>
      </c>
      <c r="AV79" s="60">
        <v>4</v>
      </c>
      <c r="AW79" s="60">
        <v>4</v>
      </c>
      <c r="AX79" s="64">
        <v>0</v>
      </c>
      <c r="AY79" s="60">
        <v>15</v>
      </c>
      <c r="AZ79" s="61">
        <v>15</v>
      </c>
      <c r="BA79" s="60">
        <v>48</v>
      </c>
      <c r="BB79" s="60">
        <v>2</v>
      </c>
      <c r="BC79" s="60" t="e">
        <f>VLOOKUP($B$9,#REF!,2,TRUE)</f>
        <v>#REF!</v>
      </c>
      <c r="BD79" s="60" t="s">
        <v>31</v>
      </c>
      <c r="BE79" s="60"/>
      <c r="BG79" s="48"/>
      <c r="BH79" s="48"/>
      <c r="BI79" s="48"/>
      <c r="BJ79" s="48">
        <v>8</v>
      </c>
      <c r="BK79" s="73">
        <v>8</v>
      </c>
      <c r="BL79" s="48"/>
    </row>
    <row r="80" spans="1:64" s="45" customFormat="1" ht="15.75">
      <c r="A80" s="95">
        <v>84</v>
      </c>
      <c r="B80" s="96" t="s">
        <v>1052</v>
      </c>
      <c r="C80" s="97" t="s">
        <v>1053</v>
      </c>
      <c r="D80" s="97" t="s">
        <v>1054</v>
      </c>
      <c r="E80" s="97" t="s">
        <v>1055</v>
      </c>
      <c r="F80" s="97" t="s">
        <v>1056</v>
      </c>
      <c r="G80" s="96" t="s">
        <v>1057</v>
      </c>
      <c r="H80" s="96" t="s">
        <v>137</v>
      </c>
      <c r="I80" s="96" t="s">
        <v>1058</v>
      </c>
      <c r="J80" s="96" t="s">
        <v>1059</v>
      </c>
      <c r="K80" s="98" t="s">
        <v>936</v>
      </c>
      <c r="L80" s="97">
        <v>584</v>
      </c>
      <c r="M80" s="96" t="s">
        <v>154</v>
      </c>
      <c r="N80" s="96"/>
      <c r="O80" s="97" t="s">
        <v>128</v>
      </c>
      <c r="P80" s="97" t="s">
        <v>31</v>
      </c>
      <c r="Q80" s="97" t="s">
        <v>31</v>
      </c>
      <c r="R80" s="97" t="s">
        <v>31</v>
      </c>
      <c r="S80" s="97" t="s">
        <v>177</v>
      </c>
      <c r="T80" s="97">
        <v>3</v>
      </c>
      <c r="U80" s="97">
        <v>8</v>
      </c>
      <c r="V80" s="97">
        <v>0</v>
      </c>
      <c r="W80" s="97">
        <v>2</v>
      </c>
      <c r="X80" s="97" t="s">
        <v>168</v>
      </c>
      <c r="Y80" s="97" t="s">
        <v>168</v>
      </c>
      <c r="Z80" s="97" t="e">
        <v>#N/A</v>
      </c>
      <c r="AA80" s="97" t="e">
        <v>#N/A</v>
      </c>
      <c r="AB80" s="97"/>
      <c r="AC80" s="97" t="s">
        <v>157</v>
      </c>
      <c r="AD80" s="97" t="s">
        <v>132</v>
      </c>
      <c r="AE80" s="97" t="s">
        <v>133</v>
      </c>
      <c r="AF80" s="97" t="s">
        <v>329</v>
      </c>
      <c r="AG80" s="97" t="s">
        <v>31</v>
      </c>
      <c r="AH80" s="97">
        <v>781</v>
      </c>
      <c r="AI80" s="97"/>
      <c r="AJ80" s="97" t="s">
        <v>135</v>
      </c>
      <c r="AK80" s="97">
        <v>16</v>
      </c>
      <c r="AL80" s="97">
        <v>0</v>
      </c>
      <c r="AM80" s="97">
        <v>80</v>
      </c>
      <c r="AN80" s="97">
        <v>15</v>
      </c>
      <c r="AO80" s="97">
        <v>12</v>
      </c>
      <c r="AP80" s="97">
        <v>0</v>
      </c>
      <c r="AQ80" s="97">
        <v>16</v>
      </c>
      <c r="AR80" s="61">
        <v>24</v>
      </c>
      <c r="AS80" s="60">
        <v>11</v>
      </c>
      <c r="AT80" s="60">
        <v>40</v>
      </c>
      <c r="AU80" s="60">
        <v>4</v>
      </c>
      <c r="AV80" s="60">
        <v>4</v>
      </c>
      <c r="AW80" s="60">
        <v>4</v>
      </c>
      <c r="AX80" s="62">
        <v>0</v>
      </c>
      <c r="AY80" s="62">
        <v>15</v>
      </c>
      <c r="AZ80" s="61">
        <v>15</v>
      </c>
      <c r="BA80" s="60">
        <v>48</v>
      </c>
      <c r="BB80" s="60">
        <v>2</v>
      </c>
      <c r="BC80" s="60" t="e">
        <f>VLOOKUP($B$9,#REF!,2,TRUE)</f>
        <v>#REF!</v>
      </c>
      <c r="BD80" s="60" t="s">
        <v>31</v>
      </c>
      <c r="BE80" s="60"/>
      <c r="BG80" s="48"/>
      <c r="BH80" s="48"/>
      <c r="BI80" s="48"/>
      <c r="BJ80" s="48">
        <v>8</v>
      </c>
      <c r="BK80" s="73">
        <v>8</v>
      </c>
      <c r="BL80" s="48"/>
    </row>
    <row r="81" spans="1:64" s="45" customFormat="1" ht="15.75">
      <c r="A81" s="95">
        <v>426</v>
      </c>
      <c r="B81" s="96" t="s">
        <v>1060</v>
      </c>
      <c r="C81" s="97" t="s">
        <v>1061</v>
      </c>
      <c r="D81" s="97" t="s">
        <v>1062</v>
      </c>
      <c r="E81" s="97" t="s">
        <v>1063</v>
      </c>
      <c r="F81" s="97" t="s">
        <v>837</v>
      </c>
      <c r="G81" s="96" t="s">
        <v>1064</v>
      </c>
      <c r="H81" s="96" t="s">
        <v>123</v>
      </c>
      <c r="I81" s="96" t="s">
        <v>326</v>
      </c>
      <c r="J81" s="96" t="s">
        <v>1065</v>
      </c>
      <c r="K81" s="98" t="s">
        <v>659</v>
      </c>
      <c r="L81" s="97">
        <v>490</v>
      </c>
      <c r="M81" s="96" t="s">
        <v>154</v>
      </c>
      <c r="N81" s="96"/>
      <c r="O81" s="97" t="s">
        <v>128</v>
      </c>
      <c r="P81" s="97" t="s">
        <v>31</v>
      </c>
      <c r="Q81" s="97" t="s">
        <v>31</v>
      </c>
      <c r="R81" s="97" t="s">
        <v>31</v>
      </c>
      <c r="S81" s="97" t="s">
        <v>167</v>
      </c>
      <c r="T81" s="97">
        <v>2</v>
      </c>
      <c r="U81" s="97">
        <v>8</v>
      </c>
      <c r="V81" s="97">
        <v>0</v>
      </c>
      <c r="W81" s="97">
        <v>2</v>
      </c>
      <c r="X81" s="97" t="s">
        <v>168</v>
      </c>
      <c r="Y81" s="97" t="s">
        <v>168</v>
      </c>
      <c r="Z81" s="97" t="e">
        <v>#N/A</v>
      </c>
      <c r="AA81" s="97" t="e">
        <v>#N/A</v>
      </c>
      <c r="AB81" s="97"/>
      <c r="AC81" s="97" t="s">
        <v>157</v>
      </c>
      <c r="AD81" s="97" t="s">
        <v>132</v>
      </c>
      <c r="AE81" s="97" t="s">
        <v>169</v>
      </c>
      <c r="AF81" s="97" t="s">
        <v>329</v>
      </c>
      <c r="AG81" s="97" t="s">
        <v>31</v>
      </c>
      <c r="AH81" s="97">
        <v>814</v>
      </c>
      <c r="AI81" s="97">
        <v>500</v>
      </c>
      <c r="AJ81" s="97" t="s">
        <v>369</v>
      </c>
      <c r="AK81" s="97">
        <v>16</v>
      </c>
      <c r="AL81" s="97">
        <v>0</v>
      </c>
      <c r="AM81" s="97">
        <v>80</v>
      </c>
      <c r="AN81" s="97">
        <v>10</v>
      </c>
      <c r="AO81" s="97">
        <v>8</v>
      </c>
      <c r="AP81" s="99">
        <v>0</v>
      </c>
      <c r="AQ81" s="97">
        <v>16</v>
      </c>
      <c r="AR81" s="63">
        <v>23</v>
      </c>
      <c r="AS81" s="62">
        <v>10</v>
      </c>
      <c r="AT81" s="62">
        <v>40</v>
      </c>
      <c r="AU81" s="62">
        <v>4</v>
      </c>
      <c r="AV81" s="62">
        <v>4</v>
      </c>
      <c r="AW81" s="62">
        <v>4</v>
      </c>
      <c r="AX81" s="64">
        <v>0</v>
      </c>
      <c r="AY81" s="60">
        <v>15</v>
      </c>
      <c r="AZ81" s="63">
        <v>15</v>
      </c>
      <c r="BA81" s="62">
        <v>48</v>
      </c>
      <c r="BB81" s="62">
        <v>2</v>
      </c>
      <c r="BC81" s="62" t="e">
        <f>VLOOKUP($B$9,#REF!,2,TRUE)</f>
        <v>#REF!</v>
      </c>
      <c r="BD81" s="62" t="s">
        <v>31</v>
      </c>
      <c r="BE81" s="62"/>
      <c r="BG81" s="48"/>
      <c r="BH81" s="48"/>
      <c r="BI81" s="48"/>
      <c r="BJ81" s="48">
        <v>8</v>
      </c>
      <c r="BK81" s="73">
        <v>8</v>
      </c>
      <c r="BL81" s="48"/>
    </row>
    <row r="82" spans="1:64" s="45" customFormat="1" ht="15.75">
      <c r="A82" s="95">
        <v>420</v>
      </c>
      <c r="B82" s="96" t="s">
        <v>1066</v>
      </c>
      <c r="C82" s="97" t="s">
        <v>1067</v>
      </c>
      <c r="D82" s="97" t="s">
        <v>1068</v>
      </c>
      <c r="E82" s="97" t="s">
        <v>1069</v>
      </c>
      <c r="F82" s="97" t="s">
        <v>296</v>
      </c>
      <c r="G82" s="96" t="s">
        <v>1070</v>
      </c>
      <c r="H82" s="96" t="s">
        <v>123</v>
      </c>
      <c r="I82" s="96" t="s">
        <v>124</v>
      </c>
      <c r="J82" s="96" t="s">
        <v>1071</v>
      </c>
      <c r="K82" s="98" t="s">
        <v>574</v>
      </c>
      <c r="L82" s="97">
        <v>570</v>
      </c>
      <c r="M82" s="96" t="s">
        <v>154</v>
      </c>
      <c r="N82" s="96"/>
      <c r="O82" s="97" t="s">
        <v>128</v>
      </c>
      <c r="P82" s="97" t="s">
        <v>31</v>
      </c>
      <c r="Q82" s="97" t="s">
        <v>31</v>
      </c>
      <c r="R82" s="97" t="s">
        <v>31</v>
      </c>
      <c r="S82" s="97" t="s">
        <v>167</v>
      </c>
      <c r="T82" s="97">
        <v>2</v>
      </c>
      <c r="U82" s="97">
        <v>8</v>
      </c>
      <c r="V82" s="97">
        <v>0</v>
      </c>
      <c r="W82" s="97">
        <v>2</v>
      </c>
      <c r="X82" s="97" t="s">
        <v>168</v>
      </c>
      <c r="Y82" s="97" t="s">
        <v>168</v>
      </c>
      <c r="Z82" s="97" t="e">
        <v>#N/A</v>
      </c>
      <c r="AA82" s="97" t="e">
        <v>#N/A</v>
      </c>
      <c r="AB82" s="97"/>
      <c r="AC82" s="97" t="s">
        <v>157</v>
      </c>
      <c r="AD82" s="97" t="s">
        <v>132</v>
      </c>
      <c r="AE82" s="97" t="s">
        <v>133</v>
      </c>
      <c r="AF82" s="97" t="s">
        <v>134</v>
      </c>
      <c r="AG82" s="97" t="s">
        <v>31</v>
      </c>
      <c r="AH82" s="97">
        <v>734</v>
      </c>
      <c r="AI82" s="97">
        <v>500</v>
      </c>
      <c r="AJ82" s="97" t="s">
        <v>369</v>
      </c>
      <c r="AK82" s="97">
        <v>16</v>
      </c>
      <c r="AL82" s="97">
        <v>0</v>
      </c>
      <c r="AM82" s="97">
        <v>80</v>
      </c>
      <c r="AN82" s="97">
        <v>10</v>
      </c>
      <c r="AO82" s="97">
        <v>8</v>
      </c>
      <c r="AP82" s="97">
        <v>0</v>
      </c>
      <c r="AQ82" s="97">
        <v>16</v>
      </c>
      <c r="AR82" s="61">
        <v>23</v>
      </c>
      <c r="AS82" s="60">
        <v>10</v>
      </c>
      <c r="AT82" s="60">
        <v>40</v>
      </c>
      <c r="AU82" s="60">
        <v>4</v>
      </c>
      <c r="AV82" s="60">
        <v>4</v>
      </c>
      <c r="AW82" s="60">
        <v>4</v>
      </c>
      <c r="AX82" s="62">
        <v>0</v>
      </c>
      <c r="AY82" s="62">
        <v>15</v>
      </c>
      <c r="AZ82" s="61">
        <v>15</v>
      </c>
      <c r="BA82" s="60">
        <v>48</v>
      </c>
      <c r="BB82" s="60">
        <v>2</v>
      </c>
      <c r="BC82" s="60" t="e">
        <f>VLOOKUP($B$9,#REF!,2,TRUE)</f>
        <v>#REF!</v>
      </c>
      <c r="BD82" s="60" t="s">
        <v>31</v>
      </c>
      <c r="BE82" s="60"/>
      <c r="BG82" s="48"/>
      <c r="BH82" s="48"/>
      <c r="BI82" s="48"/>
      <c r="BJ82" s="48">
        <v>8</v>
      </c>
      <c r="BK82" s="73">
        <v>8</v>
      </c>
      <c r="BL82" s="48"/>
    </row>
    <row r="83" spans="1:64" s="45" customFormat="1" ht="15.75">
      <c r="A83" s="95">
        <v>432</v>
      </c>
      <c r="B83" s="96" t="s">
        <v>1091</v>
      </c>
      <c r="C83" s="97" t="s">
        <v>1092</v>
      </c>
      <c r="D83" s="97" t="s">
        <v>1093</v>
      </c>
      <c r="E83" s="97" t="s">
        <v>1094</v>
      </c>
      <c r="F83" s="97" t="s">
        <v>873</v>
      </c>
      <c r="G83" s="96" t="s">
        <v>1095</v>
      </c>
      <c r="H83" s="96" t="s">
        <v>123</v>
      </c>
      <c r="I83" s="96" t="s">
        <v>151</v>
      </c>
      <c r="J83" s="96" t="s">
        <v>1096</v>
      </c>
      <c r="K83" s="98" t="s">
        <v>701</v>
      </c>
      <c r="L83" s="97">
        <v>510</v>
      </c>
      <c r="M83" s="96" t="s">
        <v>154</v>
      </c>
      <c r="N83" s="96"/>
      <c r="O83" s="97" t="s">
        <v>128</v>
      </c>
      <c r="P83" s="97" t="s">
        <v>31</v>
      </c>
      <c r="Q83" s="97" t="s">
        <v>31</v>
      </c>
      <c r="R83" s="97" t="s">
        <v>31</v>
      </c>
      <c r="S83" s="97" t="s">
        <v>167</v>
      </c>
      <c r="T83" s="97">
        <v>2</v>
      </c>
      <c r="U83" s="97">
        <v>8</v>
      </c>
      <c r="V83" s="97">
        <v>0</v>
      </c>
      <c r="W83" s="97">
        <v>2</v>
      </c>
      <c r="X83" s="97" t="s">
        <v>168</v>
      </c>
      <c r="Y83" s="97" t="s">
        <v>168</v>
      </c>
      <c r="Z83" s="97" t="e">
        <v>#N/A</v>
      </c>
      <c r="AA83" s="97" t="e">
        <v>#N/A</v>
      </c>
      <c r="AB83" s="97"/>
      <c r="AC83" s="97" t="s">
        <v>157</v>
      </c>
      <c r="AD83" s="97" t="s">
        <v>132</v>
      </c>
      <c r="AE83" s="97" t="s">
        <v>133</v>
      </c>
      <c r="AF83" s="97" t="s">
        <v>329</v>
      </c>
      <c r="AG83" s="97" t="s">
        <v>31</v>
      </c>
      <c r="AH83" s="97">
        <v>734</v>
      </c>
      <c r="AI83" s="97">
        <v>500</v>
      </c>
      <c r="AJ83" s="97" t="s">
        <v>369</v>
      </c>
      <c r="AK83" s="97">
        <v>16</v>
      </c>
      <c r="AL83" s="97">
        <v>0</v>
      </c>
      <c r="AM83" s="97">
        <v>80</v>
      </c>
      <c r="AN83" s="97">
        <v>10</v>
      </c>
      <c r="AO83" s="97">
        <v>8</v>
      </c>
      <c r="AP83" s="99">
        <v>0</v>
      </c>
      <c r="AQ83" s="97">
        <v>16</v>
      </c>
      <c r="AR83" s="61">
        <v>23</v>
      </c>
      <c r="AS83" s="60">
        <v>10</v>
      </c>
      <c r="AT83" s="60">
        <v>40</v>
      </c>
      <c r="AU83" s="60">
        <v>4</v>
      </c>
      <c r="AV83" s="60">
        <v>4</v>
      </c>
      <c r="AW83" s="60">
        <v>4</v>
      </c>
      <c r="AX83" s="58">
        <v>0</v>
      </c>
      <c r="AY83" s="62">
        <v>15</v>
      </c>
      <c r="AZ83" s="61">
        <v>15</v>
      </c>
      <c r="BA83" s="60">
        <v>48</v>
      </c>
      <c r="BB83" s="60">
        <v>2</v>
      </c>
      <c r="BC83" s="60" t="e">
        <f>VLOOKUP($B$9,#REF!,2,TRUE)</f>
        <v>#REF!</v>
      </c>
      <c r="BD83" s="60" t="s">
        <v>31</v>
      </c>
      <c r="BE83" s="60"/>
      <c r="BG83" s="48"/>
      <c r="BH83" s="48"/>
      <c r="BI83" s="48"/>
      <c r="BJ83" s="48">
        <v>8</v>
      </c>
      <c r="BK83" s="73">
        <v>8</v>
      </c>
      <c r="BL83" s="48"/>
    </row>
    <row r="84" spans="1:64" s="45" customFormat="1" ht="15.75">
      <c r="A84" s="95">
        <v>427</v>
      </c>
      <c r="B84" s="96" t="s">
        <v>1097</v>
      </c>
      <c r="C84" s="97" t="s">
        <v>1098</v>
      </c>
      <c r="D84" s="97" t="s">
        <v>1099</v>
      </c>
      <c r="E84" s="97" t="s">
        <v>1100</v>
      </c>
      <c r="F84" s="97" t="s">
        <v>1076</v>
      </c>
      <c r="G84" s="96" t="s">
        <v>1101</v>
      </c>
      <c r="H84" s="96" t="s">
        <v>123</v>
      </c>
      <c r="I84" s="96" t="s">
        <v>124</v>
      </c>
      <c r="J84" s="96" t="s">
        <v>1102</v>
      </c>
      <c r="K84" s="98" t="s">
        <v>701</v>
      </c>
      <c r="L84" s="97">
        <v>546</v>
      </c>
      <c r="M84" s="96" t="s">
        <v>154</v>
      </c>
      <c r="N84" s="96"/>
      <c r="O84" s="97" t="s">
        <v>128</v>
      </c>
      <c r="P84" s="97" t="s">
        <v>31</v>
      </c>
      <c r="Q84" s="97" t="s">
        <v>31</v>
      </c>
      <c r="R84" s="97" t="s">
        <v>31</v>
      </c>
      <c r="S84" s="97" t="s">
        <v>167</v>
      </c>
      <c r="T84" s="97">
        <v>2</v>
      </c>
      <c r="U84" s="97">
        <v>8</v>
      </c>
      <c r="V84" s="97">
        <v>0</v>
      </c>
      <c r="W84" s="97">
        <v>2</v>
      </c>
      <c r="X84" s="97" t="s">
        <v>168</v>
      </c>
      <c r="Y84" s="97" t="s">
        <v>168</v>
      </c>
      <c r="Z84" s="97" t="e">
        <v>#N/A</v>
      </c>
      <c r="AA84" s="97" t="e">
        <v>#N/A</v>
      </c>
      <c r="AB84" s="97"/>
      <c r="AC84" s="97" t="s">
        <v>157</v>
      </c>
      <c r="AD84" s="97" t="s">
        <v>132</v>
      </c>
      <c r="AE84" s="97" t="s">
        <v>133</v>
      </c>
      <c r="AF84" s="97" t="s">
        <v>329</v>
      </c>
      <c r="AG84" s="97" t="s">
        <v>31</v>
      </c>
      <c r="AH84" s="97">
        <v>734</v>
      </c>
      <c r="AI84" s="97">
        <v>500</v>
      </c>
      <c r="AJ84" s="97" t="s">
        <v>369</v>
      </c>
      <c r="AK84" s="97">
        <v>16</v>
      </c>
      <c r="AL84" s="97">
        <v>0</v>
      </c>
      <c r="AM84" s="97">
        <v>80</v>
      </c>
      <c r="AN84" s="97">
        <v>10</v>
      </c>
      <c r="AO84" s="97">
        <v>8</v>
      </c>
      <c r="AP84" s="97">
        <v>0</v>
      </c>
      <c r="AQ84" s="97">
        <v>16</v>
      </c>
      <c r="AR84" s="61">
        <v>23</v>
      </c>
      <c r="AS84" s="60">
        <v>10</v>
      </c>
      <c r="AT84" s="60">
        <v>40</v>
      </c>
      <c r="AU84" s="60">
        <v>4</v>
      </c>
      <c r="AV84" s="60">
        <v>4</v>
      </c>
      <c r="AW84" s="60">
        <v>4</v>
      </c>
      <c r="AX84" s="60">
        <v>0</v>
      </c>
      <c r="AY84" s="60">
        <v>15</v>
      </c>
      <c r="AZ84" s="61">
        <v>15</v>
      </c>
      <c r="BA84" s="60">
        <v>48</v>
      </c>
      <c r="BB84" s="60">
        <v>2</v>
      </c>
      <c r="BC84" s="60" t="e">
        <f>VLOOKUP($B$9,#REF!,2,TRUE)</f>
        <v>#REF!</v>
      </c>
      <c r="BD84" s="60" t="s">
        <v>31</v>
      </c>
      <c r="BE84" s="60"/>
      <c r="BG84" s="48"/>
      <c r="BH84" s="48"/>
      <c r="BI84" s="48"/>
      <c r="BJ84" s="48">
        <v>8</v>
      </c>
      <c r="BK84" s="73">
        <v>8</v>
      </c>
      <c r="BL84" s="48"/>
    </row>
    <row r="85" spans="1:64" s="45" customFormat="1" ht="15.75">
      <c r="A85" s="95">
        <v>479</v>
      </c>
      <c r="B85" s="96" t="s">
        <v>1213</v>
      </c>
      <c r="C85" s="97" t="s">
        <v>1214</v>
      </c>
      <c r="D85" s="97" t="s">
        <v>1215</v>
      </c>
      <c r="E85" s="97" t="s">
        <v>1216</v>
      </c>
      <c r="F85" s="97" t="s">
        <v>616</v>
      </c>
      <c r="G85" s="96" t="s">
        <v>1217</v>
      </c>
      <c r="H85" s="96" t="s">
        <v>123</v>
      </c>
      <c r="I85" s="96" t="s">
        <v>151</v>
      </c>
      <c r="J85" s="96" t="s">
        <v>1218</v>
      </c>
      <c r="K85" s="98" t="s">
        <v>619</v>
      </c>
      <c r="L85" s="97">
        <v>552</v>
      </c>
      <c r="M85" s="96" t="s">
        <v>154</v>
      </c>
      <c r="N85" s="96"/>
      <c r="O85" s="97" t="s">
        <v>128</v>
      </c>
      <c r="P85" s="97" t="s">
        <v>31</v>
      </c>
      <c r="Q85" s="97" t="s">
        <v>31</v>
      </c>
      <c r="R85" s="97" t="s">
        <v>31</v>
      </c>
      <c r="S85" s="97" t="s">
        <v>177</v>
      </c>
      <c r="T85" s="97">
        <v>3</v>
      </c>
      <c r="U85" s="97">
        <v>8</v>
      </c>
      <c r="V85" s="97">
        <v>0</v>
      </c>
      <c r="W85" s="97">
        <v>2</v>
      </c>
      <c r="X85" s="97" t="s">
        <v>168</v>
      </c>
      <c r="Y85" s="97" t="s">
        <v>168</v>
      </c>
      <c r="Z85" s="97" t="e">
        <v>#N/A</v>
      </c>
      <c r="AA85" s="97" t="e">
        <v>#N/A</v>
      </c>
      <c r="AB85" s="97"/>
      <c r="AC85" s="97" t="s">
        <v>157</v>
      </c>
      <c r="AD85" s="97" t="s">
        <v>132</v>
      </c>
      <c r="AE85" s="97" t="s">
        <v>133</v>
      </c>
      <c r="AF85" s="97" t="s">
        <v>134</v>
      </c>
      <c r="AG85" s="97" t="s">
        <v>31</v>
      </c>
      <c r="AH85" s="97">
        <v>781</v>
      </c>
      <c r="AI85" s="97">
        <v>500</v>
      </c>
      <c r="AJ85" s="97" t="s">
        <v>369</v>
      </c>
      <c r="AK85" s="97">
        <v>16</v>
      </c>
      <c r="AL85" s="97">
        <v>0</v>
      </c>
      <c r="AM85" s="97">
        <v>80</v>
      </c>
      <c r="AN85" s="97">
        <v>15</v>
      </c>
      <c r="AO85" s="97">
        <v>12</v>
      </c>
      <c r="AP85" s="99">
        <v>0</v>
      </c>
      <c r="AQ85" s="97">
        <v>16</v>
      </c>
      <c r="AR85" s="63">
        <v>24</v>
      </c>
      <c r="AS85" s="62">
        <v>11</v>
      </c>
      <c r="AT85" s="62">
        <v>40</v>
      </c>
      <c r="AU85" s="62">
        <v>4</v>
      </c>
      <c r="AV85" s="62">
        <v>4</v>
      </c>
      <c r="AW85" s="62">
        <v>4</v>
      </c>
      <c r="AX85" s="58">
        <v>0</v>
      </c>
      <c r="AY85" s="62">
        <v>15</v>
      </c>
      <c r="AZ85" s="63">
        <v>15</v>
      </c>
      <c r="BA85" s="62">
        <v>48</v>
      </c>
      <c r="BB85" s="62">
        <v>2</v>
      </c>
      <c r="BC85" s="62" t="e">
        <f>VLOOKUP($B$9,#REF!,2,TRUE)</f>
        <v>#REF!</v>
      </c>
      <c r="BD85" s="62" t="s">
        <v>31</v>
      </c>
      <c r="BE85" s="62"/>
      <c r="BG85" s="48"/>
      <c r="BH85" s="48"/>
      <c r="BI85" s="48"/>
      <c r="BJ85" s="48">
        <v>8</v>
      </c>
      <c r="BK85" s="73">
        <v>8</v>
      </c>
      <c r="BL85" s="48"/>
    </row>
    <row r="86" spans="1:64" s="45" customFormat="1" ht="15.75">
      <c r="A86" s="95">
        <v>64</v>
      </c>
      <c r="B86" s="96" t="s">
        <v>765</v>
      </c>
      <c r="C86" s="97" t="s">
        <v>766</v>
      </c>
      <c r="D86" s="97" t="s">
        <v>120</v>
      </c>
      <c r="E86" s="97" t="s">
        <v>767</v>
      </c>
      <c r="F86" s="97" t="s">
        <v>691</v>
      </c>
      <c r="G86" s="96" t="s">
        <v>768</v>
      </c>
      <c r="H86" s="96" t="s">
        <v>123</v>
      </c>
      <c r="I86" s="96" t="s">
        <v>151</v>
      </c>
      <c r="J86" s="96" t="s">
        <v>769</v>
      </c>
      <c r="K86" s="98" t="s">
        <v>694</v>
      </c>
      <c r="L86" s="97">
        <v>756</v>
      </c>
      <c r="M86" s="96" t="s">
        <v>154</v>
      </c>
      <c r="N86" s="96"/>
      <c r="O86" s="97" t="s">
        <v>128</v>
      </c>
      <c r="P86" s="97" t="s">
        <v>31</v>
      </c>
      <c r="Q86" s="97" t="s">
        <v>31</v>
      </c>
      <c r="R86" s="97" t="s">
        <v>31</v>
      </c>
      <c r="S86" s="97" t="s">
        <v>167</v>
      </c>
      <c r="T86" s="97">
        <v>2</v>
      </c>
      <c r="U86" s="97">
        <v>9</v>
      </c>
      <c r="V86" s="97">
        <v>0</v>
      </c>
      <c r="W86" s="97">
        <v>2</v>
      </c>
      <c r="X86" s="97" t="s">
        <v>168</v>
      </c>
      <c r="Y86" s="97" t="s">
        <v>168</v>
      </c>
      <c r="Z86" s="97" t="e">
        <v>#N/A</v>
      </c>
      <c r="AA86" s="97" t="e">
        <v>#N/A</v>
      </c>
      <c r="AB86" s="97"/>
      <c r="AC86" s="97" t="s">
        <v>157</v>
      </c>
      <c r="AD86" s="97" t="s">
        <v>132</v>
      </c>
      <c r="AE86" s="97" t="s">
        <v>133</v>
      </c>
      <c r="AF86" s="97" t="s">
        <v>134</v>
      </c>
      <c r="AG86" s="97" t="s">
        <v>31</v>
      </c>
      <c r="AH86" s="97">
        <v>838</v>
      </c>
      <c r="AI86" s="97"/>
      <c r="AJ86" s="97" t="s">
        <v>135</v>
      </c>
      <c r="AK86" s="97">
        <v>18</v>
      </c>
      <c r="AL86" s="97">
        <v>0</v>
      </c>
      <c r="AM86" s="97">
        <v>90</v>
      </c>
      <c r="AN86" s="97">
        <v>10</v>
      </c>
      <c r="AO86" s="97">
        <v>8</v>
      </c>
      <c r="AP86" s="97">
        <v>0</v>
      </c>
      <c r="AQ86" s="97">
        <v>16</v>
      </c>
      <c r="AR86" s="63">
        <v>25</v>
      </c>
      <c r="AS86" s="62">
        <v>11</v>
      </c>
      <c r="AT86" s="62">
        <v>40</v>
      </c>
      <c r="AU86" s="62">
        <v>4</v>
      </c>
      <c r="AV86" s="62">
        <v>4</v>
      </c>
      <c r="AW86" s="62">
        <v>4</v>
      </c>
      <c r="AX86" s="62">
        <v>0</v>
      </c>
      <c r="AY86" s="62">
        <v>15</v>
      </c>
      <c r="AZ86" s="63">
        <v>15</v>
      </c>
      <c r="BA86" s="62">
        <v>48</v>
      </c>
      <c r="BB86" s="62">
        <v>2</v>
      </c>
      <c r="BC86" s="62" t="e">
        <f>VLOOKUP($B$9,#REF!,2,TRUE)</f>
        <v>#REF!</v>
      </c>
      <c r="BD86" s="62" t="s">
        <v>31</v>
      </c>
      <c r="BE86" s="62"/>
      <c r="BG86" s="48"/>
      <c r="BH86" s="48"/>
      <c r="BI86" s="48"/>
      <c r="BJ86" s="48">
        <v>8</v>
      </c>
      <c r="BK86" s="73">
        <v>8</v>
      </c>
      <c r="BL86" s="48"/>
    </row>
    <row r="87" spans="1:64" s="45" customFormat="1" ht="15.75">
      <c r="A87" s="95">
        <v>421</v>
      </c>
      <c r="B87" s="96" t="s">
        <v>912</v>
      </c>
      <c r="C87" s="97" t="s">
        <v>913</v>
      </c>
      <c r="D87" s="97" t="s">
        <v>914</v>
      </c>
      <c r="E87" s="97" t="s">
        <v>915</v>
      </c>
      <c r="F87" s="97" t="s">
        <v>580</v>
      </c>
      <c r="G87" s="96" t="s">
        <v>916</v>
      </c>
      <c r="H87" s="96" t="s">
        <v>123</v>
      </c>
      <c r="I87" s="96" t="s">
        <v>124</v>
      </c>
      <c r="J87" s="96" t="s">
        <v>917</v>
      </c>
      <c r="K87" s="98" t="s">
        <v>734</v>
      </c>
      <c r="L87" s="97">
        <v>480</v>
      </c>
      <c r="M87" s="96" t="s">
        <v>154</v>
      </c>
      <c r="N87" s="96"/>
      <c r="O87" s="97" t="s">
        <v>128</v>
      </c>
      <c r="P87" s="97" t="s">
        <v>31</v>
      </c>
      <c r="Q87" s="97" t="s">
        <v>31</v>
      </c>
      <c r="R87" s="97" t="s">
        <v>31</v>
      </c>
      <c r="S87" s="97" t="s">
        <v>167</v>
      </c>
      <c r="T87" s="97">
        <v>2</v>
      </c>
      <c r="U87" s="97">
        <v>9</v>
      </c>
      <c r="V87" s="97">
        <v>0</v>
      </c>
      <c r="W87" s="97">
        <v>1</v>
      </c>
      <c r="X87" s="97" t="s">
        <v>168</v>
      </c>
      <c r="Y87" s="97" t="e">
        <v>#N/A</v>
      </c>
      <c r="Z87" s="97" t="e">
        <v>#N/A</v>
      </c>
      <c r="AA87" s="97" t="e">
        <v>#N/A</v>
      </c>
      <c r="AB87" s="97" t="s">
        <v>28</v>
      </c>
      <c r="AC87" s="97" t="s">
        <v>157</v>
      </c>
      <c r="AD87" s="97" t="s">
        <v>132</v>
      </c>
      <c r="AE87" s="97" t="s">
        <v>133</v>
      </c>
      <c r="AF87" s="97" t="s">
        <v>329</v>
      </c>
      <c r="AG87" s="97" t="s">
        <v>31</v>
      </c>
      <c r="AH87" s="97">
        <v>814</v>
      </c>
      <c r="AI87" s="97">
        <v>500</v>
      </c>
      <c r="AJ87" s="97" t="s">
        <v>369</v>
      </c>
      <c r="AK87" s="97">
        <v>18</v>
      </c>
      <c r="AL87" s="97">
        <v>0</v>
      </c>
      <c r="AM87" s="97">
        <v>90</v>
      </c>
      <c r="AN87" s="97">
        <v>10</v>
      </c>
      <c r="AO87" s="97">
        <v>8</v>
      </c>
      <c r="AP87" s="99">
        <v>0</v>
      </c>
      <c r="AQ87" s="97">
        <v>16</v>
      </c>
      <c r="AR87" s="63">
        <v>25</v>
      </c>
      <c r="AS87" s="62">
        <v>11</v>
      </c>
      <c r="AT87" s="62">
        <v>40</v>
      </c>
      <c r="AU87" s="62">
        <v>4</v>
      </c>
      <c r="AV87" s="62">
        <v>4</v>
      </c>
      <c r="AW87" s="62">
        <v>4</v>
      </c>
      <c r="AX87" s="58">
        <v>0</v>
      </c>
      <c r="AY87" s="62">
        <v>15</v>
      </c>
      <c r="AZ87" s="63">
        <v>15</v>
      </c>
      <c r="BA87" s="62">
        <v>48</v>
      </c>
      <c r="BB87" s="62">
        <v>2</v>
      </c>
      <c r="BC87" s="62" t="e">
        <f>VLOOKUP($B$9,#REF!,2,TRUE)</f>
        <v>#REF!</v>
      </c>
      <c r="BD87" s="62" t="s">
        <v>31</v>
      </c>
      <c r="BE87" s="62"/>
      <c r="BG87" s="48"/>
      <c r="BH87" s="48"/>
      <c r="BI87" s="48"/>
      <c r="BJ87" s="48">
        <v>8</v>
      </c>
      <c r="BK87" s="73">
        <v>8</v>
      </c>
      <c r="BL87" s="48"/>
    </row>
    <row r="88" spans="1:64" s="45" customFormat="1" ht="15.75">
      <c r="A88" s="95">
        <v>424</v>
      </c>
      <c r="B88" s="96" t="s">
        <v>1103</v>
      </c>
      <c r="C88" s="97" t="s">
        <v>1104</v>
      </c>
      <c r="D88" s="97" t="s">
        <v>1105</v>
      </c>
      <c r="E88" s="97" t="s">
        <v>1106</v>
      </c>
      <c r="F88" s="97" t="s">
        <v>635</v>
      </c>
      <c r="G88" s="96" t="s">
        <v>1107</v>
      </c>
      <c r="H88" s="96" t="s">
        <v>123</v>
      </c>
      <c r="I88" s="96" t="s">
        <v>124</v>
      </c>
      <c r="J88" s="96" t="s">
        <v>1108</v>
      </c>
      <c r="K88" s="98" t="s">
        <v>583</v>
      </c>
      <c r="L88" s="97">
        <v>477</v>
      </c>
      <c r="M88" s="96" t="s">
        <v>154</v>
      </c>
      <c r="N88" s="96"/>
      <c r="O88" s="97" t="s">
        <v>128</v>
      </c>
      <c r="P88" s="97" t="s">
        <v>31</v>
      </c>
      <c r="Q88" s="97" t="s">
        <v>31</v>
      </c>
      <c r="R88" s="97" t="s">
        <v>31</v>
      </c>
      <c r="S88" s="97" t="s">
        <v>167</v>
      </c>
      <c r="T88" s="97">
        <v>2</v>
      </c>
      <c r="U88" s="97">
        <v>9</v>
      </c>
      <c r="V88" s="97">
        <v>0</v>
      </c>
      <c r="W88" s="97">
        <v>2</v>
      </c>
      <c r="X88" s="97" t="s">
        <v>168</v>
      </c>
      <c r="Y88" s="97" t="s">
        <v>168</v>
      </c>
      <c r="Z88" s="97" t="e">
        <v>#N/A</v>
      </c>
      <c r="AA88" s="97" t="e">
        <v>#N/A</v>
      </c>
      <c r="AB88" s="97"/>
      <c r="AC88" s="97" t="s">
        <v>157</v>
      </c>
      <c r="AD88" s="97" t="s">
        <v>132</v>
      </c>
      <c r="AE88" s="97" t="s">
        <v>133</v>
      </c>
      <c r="AF88" s="97" t="s">
        <v>329</v>
      </c>
      <c r="AG88" s="97" t="s">
        <v>31</v>
      </c>
      <c r="AH88" s="97">
        <v>814</v>
      </c>
      <c r="AI88" s="97">
        <v>500</v>
      </c>
      <c r="AJ88" s="97" t="s">
        <v>369</v>
      </c>
      <c r="AK88" s="97">
        <v>18</v>
      </c>
      <c r="AL88" s="97">
        <v>0</v>
      </c>
      <c r="AM88" s="97">
        <v>90</v>
      </c>
      <c r="AN88" s="97">
        <v>10</v>
      </c>
      <c r="AO88" s="97">
        <v>8</v>
      </c>
      <c r="AP88" s="97">
        <v>0</v>
      </c>
      <c r="AQ88" s="97">
        <v>16</v>
      </c>
      <c r="AR88" s="63">
        <v>25</v>
      </c>
      <c r="AS88" s="62">
        <v>11</v>
      </c>
      <c r="AT88" s="62">
        <v>40</v>
      </c>
      <c r="AU88" s="62">
        <v>4</v>
      </c>
      <c r="AV88" s="62">
        <v>4</v>
      </c>
      <c r="AW88" s="62">
        <v>4</v>
      </c>
      <c r="AX88" s="62">
        <v>0</v>
      </c>
      <c r="AY88" s="62">
        <v>15</v>
      </c>
      <c r="AZ88" s="63">
        <v>15</v>
      </c>
      <c r="BA88" s="62">
        <v>48</v>
      </c>
      <c r="BB88" s="62">
        <v>2</v>
      </c>
      <c r="BC88" s="62" t="e">
        <f>VLOOKUP($B$9,#REF!,2,TRUE)</f>
        <v>#REF!</v>
      </c>
      <c r="BD88" s="62" t="s">
        <v>31</v>
      </c>
      <c r="BE88" s="62"/>
      <c r="BG88" s="48"/>
      <c r="BH88" s="48"/>
      <c r="BI88" s="48"/>
      <c r="BJ88" s="48">
        <v>8</v>
      </c>
      <c r="BK88" s="73">
        <v>8</v>
      </c>
      <c r="BL88" s="48"/>
    </row>
    <row r="89" spans="1:64" s="45" customFormat="1" ht="15.75">
      <c r="A89" s="95">
        <v>415</v>
      </c>
      <c r="B89" s="96" t="s">
        <v>714</v>
      </c>
      <c r="C89" s="97" t="s">
        <v>715</v>
      </c>
      <c r="D89" s="97" t="s">
        <v>716</v>
      </c>
      <c r="E89" s="97" t="s">
        <v>717</v>
      </c>
      <c r="F89" s="97" t="s">
        <v>557</v>
      </c>
      <c r="G89" s="96" t="s">
        <v>718</v>
      </c>
      <c r="H89" s="96" t="s">
        <v>123</v>
      </c>
      <c r="I89" s="96" t="s">
        <v>401</v>
      </c>
      <c r="J89" s="96" t="s">
        <v>719</v>
      </c>
      <c r="K89" s="98" t="s">
        <v>560</v>
      </c>
      <c r="L89" s="97">
        <v>527</v>
      </c>
      <c r="M89" s="96" t="s">
        <v>154</v>
      </c>
      <c r="N89" s="96"/>
      <c r="O89" s="97" t="s">
        <v>284</v>
      </c>
      <c r="P89" s="97" t="s">
        <v>31</v>
      </c>
      <c r="Q89" s="97"/>
      <c r="R89" s="97" t="s">
        <v>31</v>
      </c>
      <c r="S89" s="97" t="s">
        <v>720</v>
      </c>
      <c r="T89" s="97">
        <v>0</v>
      </c>
      <c r="U89" s="97">
        <v>10</v>
      </c>
      <c r="V89" s="97">
        <v>0</v>
      </c>
      <c r="W89" s="97">
        <v>1</v>
      </c>
      <c r="X89" s="97" t="s">
        <v>168</v>
      </c>
      <c r="Y89" s="97" t="e">
        <v>#N/A</v>
      </c>
      <c r="Z89" s="97" t="e">
        <v>#N/A</v>
      </c>
      <c r="AA89" s="97" t="e">
        <v>#N/A</v>
      </c>
      <c r="AB89" s="97" t="s">
        <v>31</v>
      </c>
      <c r="AC89" s="97" t="s">
        <v>157</v>
      </c>
      <c r="AD89" s="97" t="s">
        <v>158</v>
      </c>
      <c r="AE89" s="97" t="s">
        <v>133</v>
      </c>
      <c r="AF89" s="97" t="s">
        <v>329</v>
      </c>
      <c r="AG89" s="97" t="s">
        <v>28</v>
      </c>
      <c r="AH89" s="97">
        <v>800</v>
      </c>
      <c r="AI89" s="97">
        <v>700</v>
      </c>
      <c r="AJ89" s="97">
        <v>900</v>
      </c>
      <c r="AK89" s="97">
        <v>20</v>
      </c>
      <c r="AL89" s="97">
        <v>0</v>
      </c>
      <c r="AM89" s="97">
        <v>100</v>
      </c>
      <c r="AN89" s="97">
        <v>0</v>
      </c>
      <c r="AO89" s="97">
        <v>0</v>
      </c>
      <c r="AP89" s="99">
        <v>0</v>
      </c>
      <c r="AQ89" s="97">
        <v>16</v>
      </c>
      <c r="AR89" s="63">
        <v>25</v>
      </c>
      <c r="AS89" s="62">
        <v>10</v>
      </c>
      <c r="AT89" s="62">
        <v>40</v>
      </c>
      <c r="AU89" s="62">
        <v>4</v>
      </c>
      <c r="AV89" s="62">
        <v>4</v>
      </c>
      <c r="AW89" s="62">
        <v>4</v>
      </c>
      <c r="AX89" s="58">
        <v>0</v>
      </c>
      <c r="AY89" s="62">
        <v>15</v>
      </c>
      <c r="AZ89" s="63">
        <v>15</v>
      </c>
      <c r="BA89" s="62">
        <v>48</v>
      </c>
      <c r="BB89" s="62">
        <v>2</v>
      </c>
      <c r="BC89" s="62" t="e">
        <f>VLOOKUP($B$9,#REF!,2,TRUE)</f>
        <v>#REF!</v>
      </c>
      <c r="BD89" s="62" t="s">
        <v>31</v>
      </c>
      <c r="BE89" s="62"/>
      <c r="BG89" s="48"/>
      <c r="BH89" s="48"/>
      <c r="BI89" s="48"/>
      <c r="BJ89" s="48">
        <v>8</v>
      </c>
      <c r="BK89" s="73">
        <v>8</v>
      </c>
      <c r="BL89" s="48"/>
    </row>
    <row r="90" spans="1:64" s="45" customFormat="1" ht="15.75">
      <c r="A90" s="95">
        <v>418</v>
      </c>
      <c r="B90" s="96" t="s">
        <v>727</v>
      </c>
      <c r="C90" s="97" t="s">
        <v>728</v>
      </c>
      <c r="D90" s="97" t="s">
        <v>729</v>
      </c>
      <c r="E90" s="97" t="s">
        <v>730</v>
      </c>
      <c r="F90" s="97" t="s">
        <v>731</v>
      </c>
      <c r="G90" s="96" t="s">
        <v>732</v>
      </c>
      <c r="H90" s="96" t="s">
        <v>123</v>
      </c>
      <c r="I90" s="96" t="s">
        <v>124</v>
      </c>
      <c r="J90" s="96" t="s">
        <v>733</v>
      </c>
      <c r="K90" s="98" t="s">
        <v>734</v>
      </c>
      <c r="L90" s="97">
        <v>527</v>
      </c>
      <c r="M90" s="96" t="s">
        <v>154</v>
      </c>
      <c r="N90" s="96"/>
      <c r="O90" s="97" t="s">
        <v>284</v>
      </c>
      <c r="P90" s="97" t="s">
        <v>31</v>
      </c>
      <c r="Q90" s="97"/>
      <c r="R90" s="97" t="s">
        <v>31</v>
      </c>
      <c r="S90" s="97" t="s">
        <v>720</v>
      </c>
      <c r="T90" s="97">
        <v>0</v>
      </c>
      <c r="U90" s="97">
        <v>10</v>
      </c>
      <c r="V90" s="97">
        <v>0</v>
      </c>
      <c r="W90" s="97">
        <v>1</v>
      </c>
      <c r="X90" s="97" t="s">
        <v>168</v>
      </c>
      <c r="Y90" s="97" t="e">
        <v>#N/A</v>
      </c>
      <c r="Z90" s="97" t="e">
        <v>#N/A</v>
      </c>
      <c r="AA90" s="97" t="e">
        <v>#N/A</v>
      </c>
      <c r="AB90" s="97" t="s">
        <v>31</v>
      </c>
      <c r="AC90" s="97" t="s">
        <v>157</v>
      </c>
      <c r="AD90" s="97" t="s">
        <v>158</v>
      </c>
      <c r="AE90" s="97" t="s">
        <v>133</v>
      </c>
      <c r="AF90" s="97" t="s">
        <v>329</v>
      </c>
      <c r="AG90" s="97" t="s">
        <v>28</v>
      </c>
      <c r="AH90" s="97">
        <v>800</v>
      </c>
      <c r="AI90" s="97">
        <v>700</v>
      </c>
      <c r="AJ90" s="97">
        <v>900</v>
      </c>
      <c r="AK90" s="97">
        <v>20</v>
      </c>
      <c r="AL90" s="97">
        <v>0</v>
      </c>
      <c r="AM90" s="97">
        <v>100</v>
      </c>
      <c r="AN90" s="97">
        <v>0</v>
      </c>
      <c r="AO90" s="97">
        <v>0</v>
      </c>
      <c r="AP90" s="97">
        <v>0</v>
      </c>
      <c r="AQ90" s="97">
        <v>16</v>
      </c>
      <c r="AR90" s="63">
        <v>25</v>
      </c>
      <c r="AS90" s="62">
        <v>10</v>
      </c>
      <c r="AT90" s="62">
        <v>40</v>
      </c>
      <c r="AU90" s="62">
        <v>4</v>
      </c>
      <c r="AV90" s="62">
        <v>4</v>
      </c>
      <c r="AW90" s="62">
        <v>4</v>
      </c>
      <c r="AX90" s="62">
        <v>0</v>
      </c>
      <c r="AY90" s="62">
        <v>15</v>
      </c>
      <c r="AZ90" s="63">
        <v>15</v>
      </c>
      <c r="BA90" s="62">
        <v>48</v>
      </c>
      <c r="BB90" s="62">
        <v>2</v>
      </c>
      <c r="BC90" s="62" t="e">
        <f>VLOOKUP($B$9,#REF!,2,TRUE)</f>
        <v>#REF!</v>
      </c>
      <c r="BD90" s="62" t="s">
        <v>31</v>
      </c>
      <c r="BE90" s="62"/>
      <c r="BG90" s="48"/>
      <c r="BH90" s="48"/>
      <c r="BI90" s="48"/>
      <c r="BJ90" s="48">
        <v>8</v>
      </c>
      <c r="BK90" s="73">
        <v>8</v>
      </c>
      <c r="BL90" s="48"/>
    </row>
    <row r="91" spans="1:64" s="45" customFormat="1" ht="15.75">
      <c r="A91" s="95">
        <v>468</v>
      </c>
      <c r="B91" s="96" t="s">
        <v>1079</v>
      </c>
      <c r="C91" s="97" t="s">
        <v>1080</v>
      </c>
      <c r="D91" s="97" t="s">
        <v>1081</v>
      </c>
      <c r="E91" s="97" t="s">
        <v>1082</v>
      </c>
      <c r="F91" s="97" t="s">
        <v>635</v>
      </c>
      <c r="G91" s="96" t="s">
        <v>1083</v>
      </c>
      <c r="H91" s="96" t="s">
        <v>123</v>
      </c>
      <c r="I91" s="96" t="s">
        <v>151</v>
      </c>
      <c r="J91" s="96" t="s">
        <v>1084</v>
      </c>
      <c r="K91" s="98" t="s">
        <v>638</v>
      </c>
      <c r="L91" s="97">
        <v>510</v>
      </c>
      <c r="M91" s="96" t="s">
        <v>154</v>
      </c>
      <c r="N91" s="96"/>
      <c r="O91" s="97" t="s">
        <v>155</v>
      </c>
      <c r="P91" s="97" t="s">
        <v>31</v>
      </c>
      <c r="Q91" s="97"/>
      <c r="R91" s="97" t="s">
        <v>31</v>
      </c>
      <c r="S91" s="97" t="s">
        <v>720</v>
      </c>
      <c r="T91" s="97">
        <v>1</v>
      </c>
      <c r="U91" s="97">
        <v>10</v>
      </c>
      <c r="V91" s="97">
        <v>0</v>
      </c>
      <c r="W91" s="97">
        <v>2</v>
      </c>
      <c r="X91" s="97" t="s">
        <v>168</v>
      </c>
      <c r="Y91" s="97" t="s">
        <v>168</v>
      </c>
      <c r="Z91" s="97" t="e">
        <v>#N/A</v>
      </c>
      <c r="AA91" s="97" t="e">
        <v>#N/A</v>
      </c>
      <c r="AB91" s="97" t="s">
        <v>31</v>
      </c>
      <c r="AC91" s="97" t="s">
        <v>157</v>
      </c>
      <c r="AD91" s="97" t="s">
        <v>158</v>
      </c>
      <c r="AE91" s="97" t="s">
        <v>133</v>
      </c>
      <c r="AF91" s="97" t="s">
        <v>134</v>
      </c>
      <c r="AG91" s="97" t="s">
        <v>31</v>
      </c>
      <c r="AH91" s="97">
        <v>632</v>
      </c>
      <c r="AI91" s="97">
        <v>500</v>
      </c>
      <c r="AJ91" s="97" t="s">
        <v>369</v>
      </c>
      <c r="AK91" s="97">
        <v>20</v>
      </c>
      <c r="AL91" s="97">
        <v>0</v>
      </c>
      <c r="AM91" s="97">
        <v>100</v>
      </c>
      <c r="AN91" s="97">
        <v>5</v>
      </c>
      <c r="AO91" s="97">
        <v>4</v>
      </c>
      <c r="AP91" s="99">
        <v>0</v>
      </c>
      <c r="AQ91" s="97">
        <v>16</v>
      </c>
      <c r="AR91" s="61">
        <v>26</v>
      </c>
      <c r="AS91" s="60">
        <v>11</v>
      </c>
      <c r="AT91" s="60">
        <v>40</v>
      </c>
      <c r="AU91" s="60">
        <v>4</v>
      </c>
      <c r="AV91" s="60">
        <v>4</v>
      </c>
      <c r="AW91" s="60">
        <v>4</v>
      </c>
      <c r="AX91" s="58">
        <v>0</v>
      </c>
      <c r="AY91" s="62">
        <v>15</v>
      </c>
      <c r="AZ91" s="61">
        <v>15</v>
      </c>
      <c r="BA91" s="60">
        <v>48</v>
      </c>
      <c r="BB91" s="60">
        <v>2</v>
      </c>
      <c r="BC91" s="60" t="e">
        <f>VLOOKUP($B$9,#REF!,2,TRUE)</f>
        <v>#REF!</v>
      </c>
      <c r="BD91" s="60" t="s">
        <v>31</v>
      </c>
      <c r="BE91" s="60"/>
      <c r="BG91" s="48"/>
      <c r="BH91" s="48"/>
      <c r="BI91" s="48"/>
      <c r="BJ91" s="48">
        <v>8</v>
      </c>
      <c r="BK91" s="73">
        <v>8</v>
      </c>
      <c r="BL91" s="48"/>
    </row>
    <row r="92" spans="1:64" s="45" customFormat="1" ht="15.75">
      <c r="A92" s="95">
        <v>76</v>
      </c>
      <c r="B92" s="96" t="s">
        <v>527</v>
      </c>
      <c r="C92" s="97" t="s">
        <v>528</v>
      </c>
      <c r="D92" s="97" t="s">
        <v>529</v>
      </c>
      <c r="E92" s="97" t="s">
        <v>530</v>
      </c>
      <c r="F92" s="97" t="s">
        <v>352</v>
      </c>
      <c r="G92" s="96" t="s">
        <v>531</v>
      </c>
      <c r="H92" s="96" t="s">
        <v>123</v>
      </c>
      <c r="I92" s="96" t="s">
        <v>151</v>
      </c>
      <c r="J92" s="96" t="s">
        <v>532</v>
      </c>
      <c r="K92" s="98" t="s">
        <v>355</v>
      </c>
      <c r="L92" s="97">
        <v>715</v>
      </c>
      <c r="M92" s="96" t="s">
        <v>154</v>
      </c>
      <c r="N92" s="96"/>
      <c r="O92" s="97" t="s">
        <v>128</v>
      </c>
      <c r="P92" s="97" t="s">
        <v>31</v>
      </c>
      <c r="Q92" s="97" t="s">
        <v>31</v>
      </c>
      <c r="R92" s="97" t="s">
        <v>31</v>
      </c>
      <c r="S92" s="97" t="s">
        <v>184</v>
      </c>
      <c r="T92" s="97">
        <v>4</v>
      </c>
      <c r="U92" s="97">
        <v>8</v>
      </c>
      <c r="V92" s="97">
        <v>0</v>
      </c>
      <c r="W92" s="97">
        <v>2</v>
      </c>
      <c r="X92" s="97" t="s">
        <v>168</v>
      </c>
      <c r="Y92" s="97" t="s">
        <v>168</v>
      </c>
      <c r="Z92" s="97" t="e">
        <v>#N/A</v>
      </c>
      <c r="AA92" s="97" t="e">
        <v>#N/A</v>
      </c>
      <c r="AB92" s="97"/>
      <c r="AC92" s="97" t="s">
        <v>157</v>
      </c>
      <c r="AD92" s="97" t="s">
        <v>132</v>
      </c>
      <c r="AE92" s="97" t="s">
        <v>133</v>
      </c>
      <c r="AF92" s="97" t="s">
        <v>134</v>
      </c>
      <c r="AG92" s="97" t="s">
        <v>31</v>
      </c>
      <c r="AH92" s="97">
        <v>828</v>
      </c>
      <c r="AI92" s="97">
        <v>500</v>
      </c>
      <c r="AJ92" s="97" t="s">
        <v>369</v>
      </c>
      <c r="AK92" s="97">
        <v>16</v>
      </c>
      <c r="AL92" s="97">
        <v>0</v>
      </c>
      <c r="AM92" s="97">
        <v>80</v>
      </c>
      <c r="AN92" s="97">
        <v>20</v>
      </c>
      <c r="AO92" s="97">
        <v>16</v>
      </c>
      <c r="AP92" s="97">
        <v>0</v>
      </c>
      <c r="AQ92" s="97">
        <v>18</v>
      </c>
      <c r="AR92" s="61">
        <v>25</v>
      </c>
      <c r="AS92" s="60">
        <v>12</v>
      </c>
      <c r="AT92" s="60">
        <v>40</v>
      </c>
      <c r="AU92" s="60">
        <v>4</v>
      </c>
      <c r="AV92" s="60">
        <v>4</v>
      </c>
      <c r="AW92" s="60">
        <v>4</v>
      </c>
      <c r="AX92" s="60">
        <v>0</v>
      </c>
      <c r="AY92" s="60">
        <v>15</v>
      </c>
      <c r="AZ92" s="61">
        <v>15</v>
      </c>
      <c r="BA92" s="60">
        <v>48</v>
      </c>
      <c r="BB92" s="60">
        <v>2</v>
      </c>
      <c r="BC92" s="60" t="e">
        <f>VLOOKUP($B$9,#REF!,2,TRUE)</f>
        <v>#REF!</v>
      </c>
      <c r="BD92" s="60" t="s">
        <v>31</v>
      </c>
      <c r="BE92" s="60"/>
      <c r="BG92" s="48"/>
      <c r="BH92" s="48"/>
      <c r="BI92" s="48"/>
      <c r="BJ92" s="48">
        <v>8</v>
      </c>
      <c r="BK92" s="73">
        <v>8</v>
      </c>
      <c r="BL92" s="48"/>
    </row>
    <row r="93" spans="1:64" s="45" customFormat="1" ht="15.75">
      <c r="A93" s="95">
        <v>413</v>
      </c>
      <c r="B93" s="96" t="s">
        <v>1109</v>
      </c>
      <c r="C93" s="97" t="s">
        <v>1110</v>
      </c>
      <c r="D93" s="97" t="s">
        <v>1111</v>
      </c>
      <c r="E93" s="97" t="s">
        <v>1112</v>
      </c>
      <c r="F93" s="97" t="s">
        <v>1113</v>
      </c>
      <c r="G93" s="96" t="s">
        <v>1114</v>
      </c>
      <c r="H93" s="96" t="s">
        <v>123</v>
      </c>
      <c r="I93" s="96" t="s">
        <v>401</v>
      </c>
      <c r="J93" s="96" t="s">
        <v>1115</v>
      </c>
      <c r="K93" s="98" t="s">
        <v>546</v>
      </c>
      <c r="L93" s="97">
        <v>780</v>
      </c>
      <c r="M93" s="96" t="s">
        <v>154</v>
      </c>
      <c r="N93" s="96"/>
      <c r="O93" s="97" t="s">
        <v>128</v>
      </c>
      <c r="P93" s="97" t="s">
        <v>31</v>
      </c>
      <c r="Q93" s="97" t="s">
        <v>31</v>
      </c>
      <c r="R93" s="97" t="s">
        <v>31</v>
      </c>
      <c r="S93" s="97" t="s">
        <v>184</v>
      </c>
      <c r="T93" s="97">
        <v>4</v>
      </c>
      <c r="U93" s="97">
        <v>8</v>
      </c>
      <c r="V93" s="97">
        <v>0</v>
      </c>
      <c r="W93" s="97">
        <v>1</v>
      </c>
      <c r="X93" s="97" t="s">
        <v>168</v>
      </c>
      <c r="Y93" s="97" t="e">
        <v>#N/A</v>
      </c>
      <c r="Z93" s="97" t="e">
        <v>#N/A</v>
      </c>
      <c r="AA93" s="97" t="e">
        <v>#N/A</v>
      </c>
      <c r="AB93" s="97"/>
      <c r="AC93" s="97" t="s">
        <v>157</v>
      </c>
      <c r="AD93" s="97" t="s">
        <v>132</v>
      </c>
      <c r="AE93" s="97" t="s">
        <v>133</v>
      </c>
      <c r="AF93" s="97" t="s">
        <v>329</v>
      </c>
      <c r="AG93" s="97" t="s">
        <v>31</v>
      </c>
      <c r="AH93" s="97">
        <v>828</v>
      </c>
      <c r="AI93" s="97">
        <v>500</v>
      </c>
      <c r="AJ93" s="97" t="s">
        <v>369</v>
      </c>
      <c r="AK93" s="97">
        <v>16</v>
      </c>
      <c r="AL93" s="97">
        <v>0</v>
      </c>
      <c r="AM93" s="97">
        <v>80</v>
      </c>
      <c r="AN93" s="97">
        <v>20</v>
      </c>
      <c r="AO93" s="97">
        <v>16</v>
      </c>
      <c r="AP93" s="99">
        <v>0</v>
      </c>
      <c r="AQ93" s="97">
        <v>18</v>
      </c>
      <c r="AR93" s="61">
        <v>25</v>
      </c>
      <c r="AS93" s="60">
        <v>12</v>
      </c>
      <c r="AT93" s="60">
        <v>40</v>
      </c>
      <c r="AU93" s="60">
        <v>4</v>
      </c>
      <c r="AV93" s="60">
        <v>4</v>
      </c>
      <c r="AW93" s="60">
        <v>4</v>
      </c>
      <c r="AX93" s="64">
        <v>0</v>
      </c>
      <c r="AY93" s="60">
        <v>15</v>
      </c>
      <c r="AZ93" s="61">
        <v>15</v>
      </c>
      <c r="BA93" s="60">
        <v>48</v>
      </c>
      <c r="BB93" s="60">
        <v>2</v>
      </c>
      <c r="BC93" s="60" t="e">
        <f>VLOOKUP($B$9,#REF!,2,TRUE)</f>
        <v>#REF!</v>
      </c>
      <c r="BD93" s="60" t="s">
        <v>31</v>
      </c>
      <c r="BE93" s="60"/>
      <c r="BG93" s="48"/>
      <c r="BH93" s="48"/>
      <c r="BI93" s="48"/>
      <c r="BJ93" s="48">
        <v>8</v>
      </c>
      <c r="BK93" s="73">
        <v>8</v>
      </c>
      <c r="BL93" s="48"/>
    </row>
    <row r="94" spans="1:64" s="45" customFormat="1" ht="15.75">
      <c r="A94" s="95">
        <v>18</v>
      </c>
      <c r="B94" s="96" t="s">
        <v>255</v>
      </c>
      <c r="C94" s="97" t="s">
        <v>256</v>
      </c>
      <c r="D94" s="97" t="s">
        <v>257</v>
      </c>
      <c r="E94" s="97" t="s">
        <v>258</v>
      </c>
      <c r="F94" s="97" t="s">
        <v>259</v>
      </c>
      <c r="G94" s="96" t="s">
        <v>260</v>
      </c>
      <c r="H94" s="96" t="s">
        <v>123</v>
      </c>
      <c r="I94" s="96" t="s">
        <v>151</v>
      </c>
      <c r="J94" s="96" t="s">
        <v>261</v>
      </c>
      <c r="K94" s="98" t="s">
        <v>262</v>
      </c>
      <c r="L94" s="97">
        <v>600</v>
      </c>
      <c r="M94" s="96" t="s">
        <v>154</v>
      </c>
      <c r="N94" s="96"/>
      <c r="O94" s="97" t="s">
        <v>128</v>
      </c>
      <c r="P94" s="97" t="s">
        <v>31</v>
      </c>
      <c r="Q94" s="97" t="s">
        <v>31</v>
      </c>
      <c r="R94" s="97" t="s">
        <v>31</v>
      </c>
      <c r="S94" s="97" t="s">
        <v>184</v>
      </c>
      <c r="T94" s="97">
        <v>4</v>
      </c>
      <c r="U94" s="97">
        <v>9</v>
      </c>
      <c r="V94" s="97">
        <v>0</v>
      </c>
      <c r="W94" s="97">
        <v>1</v>
      </c>
      <c r="X94" s="97" t="s">
        <v>168</v>
      </c>
      <c r="Y94" s="97" t="e">
        <v>#N/A</v>
      </c>
      <c r="Z94" s="97" t="e">
        <v>#N/A</v>
      </c>
      <c r="AA94" s="97" t="e">
        <v>#N/A</v>
      </c>
      <c r="AB94" s="97"/>
      <c r="AC94" s="97" t="s">
        <v>157</v>
      </c>
      <c r="AD94" s="97" t="s">
        <v>132</v>
      </c>
      <c r="AE94" s="97" t="s">
        <v>169</v>
      </c>
      <c r="AF94" s="97" t="s">
        <v>134</v>
      </c>
      <c r="AG94" s="97" t="s">
        <v>31</v>
      </c>
      <c r="AH94" s="97">
        <v>908</v>
      </c>
      <c r="AI94" s="97">
        <v>700</v>
      </c>
      <c r="AJ94" s="97">
        <v>900</v>
      </c>
      <c r="AK94" s="97">
        <v>18</v>
      </c>
      <c r="AL94" s="97">
        <v>0</v>
      </c>
      <c r="AM94" s="97">
        <v>90</v>
      </c>
      <c r="AN94" s="97">
        <v>20</v>
      </c>
      <c r="AO94" s="97">
        <v>16</v>
      </c>
      <c r="AP94" s="97">
        <v>0</v>
      </c>
      <c r="AQ94" s="97">
        <v>18</v>
      </c>
      <c r="AR94" s="61">
        <v>27</v>
      </c>
      <c r="AS94" s="60">
        <v>13</v>
      </c>
      <c r="AT94" s="60">
        <v>40</v>
      </c>
      <c r="AU94" s="60">
        <v>4</v>
      </c>
      <c r="AV94" s="60">
        <v>4</v>
      </c>
      <c r="AW94" s="60">
        <v>4</v>
      </c>
      <c r="AX94" s="60">
        <v>0</v>
      </c>
      <c r="AY94" s="60">
        <v>15</v>
      </c>
      <c r="AZ94" s="61">
        <v>15</v>
      </c>
      <c r="BA94" s="60">
        <v>48</v>
      </c>
      <c r="BB94" s="60">
        <v>2</v>
      </c>
      <c r="BC94" s="60" t="e">
        <f>VLOOKUP($B$9,#REF!,2,TRUE)</f>
        <v>#REF!</v>
      </c>
      <c r="BD94" s="60" t="s">
        <v>31</v>
      </c>
      <c r="BE94" s="60"/>
      <c r="BG94" s="48"/>
      <c r="BH94" s="48"/>
      <c r="BI94" s="48"/>
      <c r="BJ94" s="48">
        <v>8</v>
      </c>
      <c r="BK94" s="73">
        <v>8</v>
      </c>
      <c r="BL94" s="48"/>
    </row>
    <row r="95" spans="1:64" s="45" customFormat="1" ht="15.75">
      <c r="A95" s="95">
        <v>1</v>
      </c>
      <c r="B95" s="96" t="s">
        <v>292</v>
      </c>
      <c r="C95" s="97" t="s">
        <v>293</v>
      </c>
      <c r="D95" s="97" t="s">
        <v>294</v>
      </c>
      <c r="E95" s="97" t="s">
        <v>295</v>
      </c>
      <c r="F95" s="97" t="s">
        <v>296</v>
      </c>
      <c r="G95" s="96" t="s">
        <v>297</v>
      </c>
      <c r="H95" s="96" t="s">
        <v>123</v>
      </c>
      <c r="I95" s="96" t="s">
        <v>124</v>
      </c>
      <c r="J95" s="96" t="s">
        <v>298</v>
      </c>
      <c r="K95" s="98" t="s">
        <v>126</v>
      </c>
      <c r="L95" s="97">
        <v>833</v>
      </c>
      <c r="M95" s="96" t="s">
        <v>154</v>
      </c>
      <c r="N95" s="96"/>
      <c r="O95" s="97" t="s">
        <v>128</v>
      </c>
      <c r="P95" s="97" t="s">
        <v>299</v>
      </c>
      <c r="Q95" s="97" t="s">
        <v>31</v>
      </c>
      <c r="R95" s="97" t="s">
        <v>31</v>
      </c>
      <c r="S95" s="97" t="s">
        <v>300</v>
      </c>
      <c r="T95" s="97">
        <v>3</v>
      </c>
      <c r="U95" s="97">
        <v>9</v>
      </c>
      <c r="V95" s="97">
        <v>0</v>
      </c>
      <c r="W95" s="97">
        <v>0</v>
      </c>
      <c r="X95" s="97" t="e">
        <v>#N/A</v>
      </c>
      <c r="Y95" s="97" t="e">
        <v>#N/A</v>
      </c>
      <c r="Z95" s="97" t="e">
        <v>#N/A</v>
      </c>
      <c r="AA95" s="97" t="e">
        <v>#N/A</v>
      </c>
      <c r="AB95" s="97"/>
      <c r="AC95" s="97" t="s">
        <v>157</v>
      </c>
      <c r="AD95" s="97" t="s">
        <v>132</v>
      </c>
      <c r="AE95" s="97" t="s">
        <v>133</v>
      </c>
      <c r="AF95" s="97" t="s">
        <v>134</v>
      </c>
      <c r="AG95" s="97" t="s">
        <v>31</v>
      </c>
      <c r="AH95" s="97">
        <v>1002</v>
      </c>
      <c r="AI95" s="97">
        <v>700</v>
      </c>
      <c r="AJ95" s="97">
        <v>900</v>
      </c>
      <c r="AK95" s="97">
        <v>18</v>
      </c>
      <c r="AL95" s="97">
        <v>0</v>
      </c>
      <c r="AM95" s="97">
        <v>90</v>
      </c>
      <c r="AN95" s="97">
        <v>15</v>
      </c>
      <c r="AO95" s="97">
        <v>12</v>
      </c>
      <c r="AP95" s="99">
        <v>0</v>
      </c>
      <c r="AQ95" s="97">
        <v>18</v>
      </c>
      <c r="AR95" s="63">
        <v>26</v>
      </c>
      <c r="AS95" s="62">
        <v>12</v>
      </c>
      <c r="AT95" s="62">
        <v>40</v>
      </c>
      <c r="AU95" s="62">
        <v>4</v>
      </c>
      <c r="AV95" s="62">
        <v>4</v>
      </c>
      <c r="AW95" s="62">
        <v>4</v>
      </c>
      <c r="AX95" s="58">
        <v>0</v>
      </c>
      <c r="AY95" s="62">
        <v>15</v>
      </c>
      <c r="AZ95" s="63">
        <v>15</v>
      </c>
      <c r="BA95" s="62">
        <v>48</v>
      </c>
      <c r="BB95" s="62">
        <v>2</v>
      </c>
      <c r="BC95" s="62" t="e">
        <f>VLOOKUP($B$9,#REF!,2,TRUE)</f>
        <v>#REF!</v>
      </c>
      <c r="BD95" s="62" t="s">
        <v>31</v>
      </c>
      <c r="BE95" s="62"/>
      <c r="BG95" s="48"/>
      <c r="BH95" s="48"/>
      <c r="BI95" s="48"/>
      <c r="BJ95" s="48">
        <v>8</v>
      </c>
      <c r="BK95" s="73">
        <v>8</v>
      </c>
      <c r="BL95" s="48"/>
    </row>
    <row r="96" spans="1:64" s="45" customFormat="1" ht="15.75">
      <c r="A96" s="95">
        <v>35</v>
      </c>
      <c r="B96" s="96" t="s">
        <v>330</v>
      </c>
      <c r="C96" s="97" t="s">
        <v>331</v>
      </c>
      <c r="D96" s="97" t="s">
        <v>241</v>
      </c>
      <c r="E96" s="97" t="s">
        <v>332</v>
      </c>
      <c r="F96" s="97" t="s">
        <v>333</v>
      </c>
      <c r="G96" s="96" t="s">
        <v>334</v>
      </c>
      <c r="H96" s="96" t="s">
        <v>123</v>
      </c>
      <c r="I96" s="96" t="s">
        <v>124</v>
      </c>
      <c r="J96" s="96" t="s">
        <v>335</v>
      </c>
      <c r="K96" s="98" t="s">
        <v>246</v>
      </c>
      <c r="L96" s="97">
        <v>597</v>
      </c>
      <c r="M96" s="96" t="s">
        <v>154</v>
      </c>
      <c r="N96" s="96"/>
      <c r="O96" s="97" t="s">
        <v>284</v>
      </c>
      <c r="P96" s="97" t="s">
        <v>31</v>
      </c>
      <c r="Q96" s="97" t="s">
        <v>31</v>
      </c>
      <c r="R96" s="97" t="s">
        <v>31</v>
      </c>
      <c r="S96" s="97" t="s">
        <v>238</v>
      </c>
      <c r="T96" s="97">
        <v>3</v>
      </c>
      <c r="U96" s="97">
        <v>9</v>
      </c>
      <c r="V96" s="97">
        <v>0</v>
      </c>
      <c r="W96" s="97">
        <v>2</v>
      </c>
      <c r="X96" s="97" t="s">
        <v>168</v>
      </c>
      <c r="Y96" s="97" t="s">
        <v>168</v>
      </c>
      <c r="Z96" s="97" t="e">
        <v>#N/A</v>
      </c>
      <c r="AA96" s="97" t="e">
        <v>#N/A</v>
      </c>
      <c r="AB96" s="97"/>
      <c r="AC96" s="97" t="s">
        <v>157</v>
      </c>
      <c r="AD96" s="97" t="s">
        <v>132</v>
      </c>
      <c r="AE96" s="97" t="s">
        <v>133</v>
      </c>
      <c r="AF96" s="97" t="s">
        <v>134</v>
      </c>
      <c r="AG96" s="97" t="s">
        <v>31</v>
      </c>
      <c r="AH96" s="97">
        <v>861</v>
      </c>
      <c r="AI96" s="97">
        <v>700</v>
      </c>
      <c r="AJ96" s="97">
        <v>900</v>
      </c>
      <c r="AK96" s="97">
        <v>18</v>
      </c>
      <c r="AL96" s="97">
        <v>0</v>
      </c>
      <c r="AM96" s="97">
        <v>90</v>
      </c>
      <c r="AN96" s="97">
        <v>15</v>
      </c>
      <c r="AO96" s="97">
        <v>12</v>
      </c>
      <c r="AP96" s="97">
        <v>0</v>
      </c>
      <c r="AQ96" s="97">
        <v>18</v>
      </c>
      <c r="AR96" s="61">
        <v>26</v>
      </c>
      <c r="AS96" s="60">
        <v>12</v>
      </c>
      <c r="AT96" s="60">
        <v>40</v>
      </c>
      <c r="AU96" s="60">
        <v>4</v>
      </c>
      <c r="AV96" s="60">
        <v>4</v>
      </c>
      <c r="AW96" s="60">
        <v>4</v>
      </c>
      <c r="AX96" s="60">
        <v>0</v>
      </c>
      <c r="AY96" s="60">
        <v>15</v>
      </c>
      <c r="AZ96" s="61">
        <v>15</v>
      </c>
      <c r="BA96" s="60">
        <v>48</v>
      </c>
      <c r="BB96" s="60">
        <v>2</v>
      </c>
      <c r="BC96" s="60" t="e">
        <f>VLOOKUP($B$9,#REF!,2,TRUE)</f>
        <v>#REF!</v>
      </c>
      <c r="BD96" s="60" t="s">
        <v>31</v>
      </c>
      <c r="BE96" s="60"/>
      <c r="BG96" s="48"/>
      <c r="BH96" s="48"/>
      <c r="BI96" s="48"/>
      <c r="BJ96" s="48">
        <v>8</v>
      </c>
      <c r="BK96" s="73">
        <v>8</v>
      </c>
      <c r="BL96" s="48"/>
    </row>
    <row r="97" spans="1:64" s="45" customFormat="1" ht="15.75">
      <c r="A97" s="95">
        <v>92</v>
      </c>
      <c r="B97" s="96" t="s">
        <v>336</v>
      </c>
      <c r="C97" s="97" t="s">
        <v>337</v>
      </c>
      <c r="D97" s="97" t="s">
        <v>338</v>
      </c>
      <c r="E97" s="97" t="s">
        <v>339</v>
      </c>
      <c r="F97" s="97" t="s">
        <v>163</v>
      </c>
      <c r="G97" s="96" t="s">
        <v>340</v>
      </c>
      <c r="H97" s="96" t="s">
        <v>123</v>
      </c>
      <c r="I97" s="96" t="s">
        <v>151</v>
      </c>
      <c r="J97" s="96" t="s">
        <v>341</v>
      </c>
      <c r="K97" s="98" t="s">
        <v>275</v>
      </c>
      <c r="L97" s="97">
        <v>521</v>
      </c>
      <c r="M97" s="96" t="s">
        <v>154</v>
      </c>
      <c r="N97" s="96"/>
      <c r="O97" s="97" t="s">
        <v>128</v>
      </c>
      <c r="P97" s="97" t="s">
        <v>31</v>
      </c>
      <c r="Q97" s="97" t="s">
        <v>28</v>
      </c>
      <c r="R97" s="97" t="s">
        <v>31</v>
      </c>
      <c r="S97" s="97" t="s">
        <v>177</v>
      </c>
      <c r="T97" s="97">
        <v>3</v>
      </c>
      <c r="U97" s="97">
        <v>9</v>
      </c>
      <c r="V97" s="97">
        <v>0</v>
      </c>
      <c r="W97" s="97">
        <v>2</v>
      </c>
      <c r="X97" s="97" t="s">
        <v>168</v>
      </c>
      <c r="Y97" s="97" t="s">
        <v>168</v>
      </c>
      <c r="Z97" s="97" t="e">
        <v>#N/A</v>
      </c>
      <c r="AA97" s="97" t="e">
        <v>#N/A</v>
      </c>
      <c r="AB97" s="97"/>
      <c r="AC97" s="97" t="s">
        <v>157</v>
      </c>
      <c r="AD97" s="97" t="s">
        <v>132</v>
      </c>
      <c r="AE97" s="97" t="s">
        <v>169</v>
      </c>
      <c r="AF97" s="97" t="s">
        <v>134</v>
      </c>
      <c r="AG97" s="97" t="s">
        <v>31</v>
      </c>
      <c r="AH97" s="97">
        <v>861</v>
      </c>
      <c r="AI97" s="97">
        <v>700</v>
      </c>
      <c r="AJ97" s="97">
        <v>900</v>
      </c>
      <c r="AK97" s="97">
        <v>18</v>
      </c>
      <c r="AL97" s="97">
        <v>0</v>
      </c>
      <c r="AM97" s="97">
        <v>90</v>
      </c>
      <c r="AN97" s="97">
        <v>15</v>
      </c>
      <c r="AO97" s="97">
        <v>12</v>
      </c>
      <c r="AP97" s="99">
        <v>0</v>
      </c>
      <c r="AQ97" s="97">
        <v>18</v>
      </c>
      <c r="AR97" s="63">
        <v>26</v>
      </c>
      <c r="AS97" s="62">
        <v>12</v>
      </c>
      <c r="AT97" s="62">
        <v>40</v>
      </c>
      <c r="AU97" s="62">
        <v>4</v>
      </c>
      <c r="AV97" s="62">
        <v>4</v>
      </c>
      <c r="AW97" s="62">
        <v>4</v>
      </c>
      <c r="AX97" s="58">
        <v>0</v>
      </c>
      <c r="AY97" s="62">
        <v>15</v>
      </c>
      <c r="AZ97" s="63">
        <v>15</v>
      </c>
      <c r="BA97" s="62">
        <v>48</v>
      </c>
      <c r="BB97" s="62">
        <v>2</v>
      </c>
      <c r="BC97" s="62" t="e">
        <f>VLOOKUP($B$9,#REF!,2,TRUE)</f>
        <v>#REF!</v>
      </c>
      <c r="BD97" s="62" t="s">
        <v>31</v>
      </c>
      <c r="BE97" s="62"/>
      <c r="BG97" s="48"/>
      <c r="BH97" s="48"/>
      <c r="BI97" s="48"/>
      <c r="BJ97" s="48">
        <v>8</v>
      </c>
      <c r="BK97" s="73">
        <v>8</v>
      </c>
      <c r="BL97" s="48"/>
    </row>
    <row r="98" spans="1:64" s="45" customFormat="1" ht="15.75">
      <c r="A98" s="95">
        <v>472</v>
      </c>
      <c r="B98" s="96" t="s">
        <v>453</v>
      </c>
      <c r="C98" s="97" t="s">
        <v>454</v>
      </c>
      <c r="D98" s="97" t="s">
        <v>455</v>
      </c>
      <c r="E98" s="97" t="s">
        <v>456</v>
      </c>
      <c r="F98" s="97" t="s">
        <v>217</v>
      </c>
      <c r="G98" s="96" t="s">
        <v>457</v>
      </c>
      <c r="H98" s="96" t="s">
        <v>123</v>
      </c>
      <c r="I98" s="96" t="s">
        <v>124</v>
      </c>
      <c r="J98" s="96" t="s">
        <v>458</v>
      </c>
      <c r="K98" s="98" t="s">
        <v>320</v>
      </c>
      <c r="L98" s="97">
        <v>510</v>
      </c>
      <c r="M98" s="96" t="s">
        <v>154</v>
      </c>
      <c r="N98" s="96"/>
      <c r="O98" s="97" t="s">
        <v>128</v>
      </c>
      <c r="P98" s="97" t="s">
        <v>31</v>
      </c>
      <c r="Q98" s="97" t="s">
        <v>31</v>
      </c>
      <c r="R98" s="97" t="s">
        <v>31</v>
      </c>
      <c r="S98" s="97" t="s">
        <v>238</v>
      </c>
      <c r="T98" s="97">
        <v>3</v>
      </c>
      <c r="U98" s="97">
        <v>9</v>
      </c>
      <c r="V98" s="97">
        <v>0</v>
      </c>
      <c r="W98" s="97">
        <v>2</v>
      </c>
      <c r="X98" s="97" t="s">
        <v>168</v>
      </c>
      <c r="Y98" s="97" t="s">
        <v>168</v>
      </c>
      <c r="Z98" s="97" t="e">
        <v>#N/A</v>
      </c>
      <c r="AA98" s="97" t="e">
        <v>#N/A</v>
      </c>
      <c r="AB98" s="97"/>
      <c r="AC98" s="97" t="s">
        <v>157</v>
      </c>
      <c r="AD98" s="97" t="s">
        <v>132</v>
      </c>
      <c r="AE98" s="97" t="s">
        <v>169</v>
      </c>
      <c r="AF98" s="97" t="s">
        <v>134</v>
      </c>
      <c r="AG98" s="97" t="s">
        <v>31</v>
      </c>
      <c r="AH98" s="97">
        <v>861</v>
      </c>
      <c r="AI98" s="97">
        <v>700</v>
      </c>
      <c r="AJ98" s="97">
        <v>900</v>
      </c>
      <c r="AK98" s="97">
        <v>18</v>
      </c>
      <c r="AL98" s="97">
        <v>0</v>
      </c>
      <c r="AM98" s="97">
        <v>90</v>
      </c>
      <c r="AN98" s="97">
        <v>15</v>
      </c>
      <c r="AO98" s="97">
        <v>12</v>
      </c>
      <c r="AP98" s="97">
        <v>0</v>
      </c>
      <c r="AQ98" s="97">
        <v>18</v>
      </c>
      <c r="AR98" s="63">
        <v>26</v>
      </c>
      <c r="AS98" s="62">
        <v>12</v>
      </c>
      <c r="AT98" s="62">
        <v>40</v>
      </c>
      <c r="AU98" s="62">
        <v>4</v>
      </c>
      <c r="AV98" s="62">
        <v>4</v>
      </c>
      <c r="AW98" s="62">
        <v>4</v>
      </c>
      <c r="AX98" s="62">
        <v>0</v>
      </c>
      <c r="AY98" s="62">
        <v>15</v>
      </c>
      <c r="AZ98" s="63">
        <v>15</v>
      </c>
      <c r="BA98" s="62">
        <v>48</v>
      </c>
      <c r="BB98" s="62">
        <v>2</v>
      </c>
      <c r="BC98" s="62" t="e">
        <f>VLOOKUP($B$9,#REF!,2,TRUE)</f>
        <v>#REF!</v>
      </c>
      <c r="BD98" s="62" t="s">
        <v>31</v>
      </c>
      <c r="BE98" s="62"/>
      <c r="BG98" s="48"/>
      <c r="BH98" s="48"/>
      <c r="BI98" s="48"/>
      <c r="BJ98" s="48">
        <v>8</v>
      </c>
      <c r="BK98" s="48">
        <v>8</v>
      </c>
      <c r="BL98" s="48"/>
    </row>
    <row r="99" spans="1:64" s="45" customFormat="1" ht="15.75">
      <c r="A99" s="95">
        <v>31</v>
      </c>
      <c r="B99" s="96" t="s">
        <v>509</v>
      </c>
      <c r="C99" s="97" t="s">
        <v>510</v>
      </c>
      <c r="D99" s="97" t="s">
        <v>430</v>
      </c>
      <c r="E99" s="97" t="s">
        <v>511</v>
      </c>
      <c r="F99" s="97" t="s">
        <v>512</v>
      </c>
      <c r="G99" s="96" t="s">
        <v>513</v>
      </c>
      <c r="H99" s="96" t="s">
        <v>123</v>
      </c>
      <c r="I99" s="96" t="s">
        <v>124</v>
      </c>
      <c r="J99" s="96" t="s">
        <v>514</v>
      </c>
      <c r="K99" s="98" t="s">
        <v>126</v>
      </c>
      <c r="L99" s="97">
        <v>580</v>
      </c>
      <c r="M99" s="96" t="s">
        <v>154</v>
      </c>
      <c r="N99" s="96"/>
      <c r="O99" s="97" t="s">
        <v>128</v>
      </c>
      <c r="P99" s="97" t="s">
        <v>31</v>
      </c>
      <c r="Q99" s="97" t="s">
        <v>31</v>
      </c>
      <c r="R99" s="97" t="s">
        <v>31</v>
      </c>
      <c r="S99" s="97" t="s">
        <v>238</v>
      </c>
      <c r="T99" s="97">
        <v>3</v>
      </c>
      <c r="U99" s="97">
        <v>9</v>
      </c>
      <c r="V99" s="97">
        <v>0</v>
      </c>
      <c r="W99" s="97">
        <v>2</v>
      </c>
      <c r="X99" s="97" t="s">
        <v>168</v>
      </c>
      <c r="Y99" s="97" t="s">
        <v>168</v>
      </c>
      <c r="Z99" s="97" t="e">
        <v>#N/A</v>
      </c>
      <c r="AA99" s="97" t="e">
        <v>#N/A</v>
      </c>
      <c r="AB99" s="97"/>
      <c r="AC99" s="97" t="s">
        <v>157</v>
      </c>
      <c r="AD99" s="97" t="s">
        <v>132</v>
      </c>
      <c r="AE99" s="97" t="s">
        <v>133</v>
      </c>
      <c r="AF99" s="97" t="s">
        <v>134</v>
      </c>
      <c r="AG99" s="97" t="s">
        <v>31</v>
      </c>
      <c r="AH99" s="97">
        <v>861</v>
      </c>
      <c r="AI99" s="97">
        <v>500</v>
      </c>
      <c r="AJ99" s="97" t="s">
        <v>369</v>
      </c>
      <c r="AK99" s="97">
        <v>18</v>
      </c>
      <c r="AL99" s="97">
        <v>0</v>
      </c>
      <c r="AM99" s="97">
        <v>90</v>
      </c>
      <c r="AN99" s="97">
        <v>15</v>
      </c>
      <c r="AO99" s="97">
        <v>12</v>
      </c>
      <c r="AP99" s="99">
        <v>0</v>
      </c>
      <c r="AQ99" s="97">
        <v>18</v>
      </c>
      <c r="AR99" s="63">
        <v>26</v>
      </c>
      <c r="AS99" s="62">
        <v>12</v>
      </c>
      <c r="AT99" s="62">
        <v>40</v>
      </c>
      <c r="AU99" s="62">
        <v>4</v>
      </c>
      <c r="AV99" s="62">
        <v>4</v>
      </c>
      <c r="AW99" s="62">
        <v>4</v>
      </c>
      <c r="AX99" s="58">
        <v>0</v>
      </c>
      <c r="AY99" s="62">
        <v>15</v>
      </c>
      <c r="AZ99" s="63">
        <v>15</v>
      </c>
      <c r="BA99" s="62">
        <v>48</v>
      </c>
      <c r="BB99" s="62">
        <v>2</v>
      </c>
      <c r="BC99" s="62" t="e">
        <f>VLOOKUP($B$9,#REF!,2,TRUE)</f>
        <v>#REF!</v>
      </c>
      <c r="BD99" s="62" t="s">
        <v>31</v>
      </c>
      <c r="BE99" s="62"/>
      <c r="BG99" s="48"/>
      <c r="BH99" s="48"/>
      <c r="BI99" s="48"/>
      <c r="BJ99" s="48">
        <v>8</v>
      </c>
      <c r="BK99" s="73">
        <v>8</v>
      </c>
      <c r="BL99" s="48"/>
    </row>
    <row r="100" spans="1:64" s="45" customFormat="1" ht="15.75">
      <c r="A100" s="95">
        <v>48</v>
      </c>
      <c r="B100" s="96" t="s">
        <v>576</v>
      </c>
      <c r="C100" s="97" t="s">
        <v>577</v>
      </c>
      <c r="D100" s="97" t="s">
        <v>578</v>
      </c>
      <c r="E100" s="97" t="s">
        <v>579</v>
      </c>
      <c r="F100" s="97" t="s">
        <v>580</v>
      </c>
      <c r="G100" s="96" t="s">
        <v>581</v>
      </c>
      <c r="H100" s="96" t="s">
        <v>123</v>
      </c>
      <c r="I100" s="96" t="s">
        <v>124</v>
      </c>
      <c r="J100" s="96" t="s">
        <v>582</v>
      </c>
      <c r="K100" s="98" t="s">
        <v>583</v>
      </c>
      <c r="L100" s="97">
        <v>600</v>
      </c>
      <c r="M100" s="96" t="s">
        <v>154</v>
      </c>
      <c r="N100" s="96"/>
      <c r="O100" s="97" t="s">
        <v>128</v>
      </c>
      <c r="P100" s="97" t="s">
        <v>31</v>
      </c>
      <c r="Q100" s="97" t="s">
        <v>31</v>
      </c>
      <c r="R100" s="97" t="s">
        <v>31</v>
      </c>
      <c r="S100" s="97" t="s">
        <v>177</v>
      </c>
      <c r="T100" s="97">
        <v>3</v>
      </c>
      <c r="U100" s="97">
        <v>9</v>
      </c>
      <c r="V100" s="97">
        <v>0</v>
      </c>
      <c r="W100" s="97">
        <v>2</v>
      </c>
      <c r="X100" s="97" t="s">
        <v>168</v>
      </c>
      <c r="Y100" s="97" t="s">
        <v>168</v>
      </c>
      <c r="Z100" s="97" t="e">
        <v>#N/A</v>
      </c>
      <c r="AA100" s="97" t="e">
        <v>#N/A</v>
      </c>
      <c r="AB100" s="97"/>
      <c r="AC100" s="97" t="s">
        <v>157</v>
      </c>
      <c r="AD100" s="97" t="s">
        <v>132</v>
      </c>
      <c r="AE100" s="97" t="s">
        <v>133</v>
      </c>
      <c r="AF100" s="97" t="s">
        <v>329</v>
      </c>
      <c r="AG100" s="97" t="s">
        <v>31</v>
      </c>
      <c r="AH100" s="97">
        <v>861</v>
      </c>
      <c r="AI100" s="97">
        <v>500</v>
      </c>
      <c r="AJ100" s="97" t="s">
        <v>369</v>
      </c>
      <c r="AK100" s="97">
        <v>18</v>
      </c>
      <c r="AL100" s="97">
        <v>0</v>
      </c>
      <c r="AM100" s="97">
        <v>90</v>
      </c>
      <c r="AN100" s="97">
        <v>15</v>
      </c>
      <c r="AO100" s="97">
        <v>12</v>
      </c>
      <c r="AP100" s="97">
        <v>0</v>
      </c>
      <c r="AQ100" s="97">
        <v>18</v>
      </c>
      <c r="AR100" s="63">
        <v>26</v>
      </c>
      <c r="AS100" s="62">
        <v>12</v>
      </c>
      <c r="AT100" s="62">
        <v>40</v>
      </c>
      <c r="AU100" s="62">
        <v>4</v>
      </c>
      <c r="AV100" s="62">
        <v>4</v>
      </c>
      <c r="AW100" s="62">
        <v>4</v>
      </c>
      <c r="AX100" s="62">
        <v>0</v>
      </c>
      <c r="AY100" s="62">
        <v>15</v>
      </c>
      <c r="AZ100" s="63">
        <v>15</v>
      </c>
      <c r="BA100" s="62">
        <v>48</v>
      </c>
      <c r="BB100" s="62">
        <v>2</v>
      </c>
      <c r="BC100" s="62" t="e">
        <f>VLOOKUP($B$9,#REF!,2,TRUE)</f>
        <v>#REF!</v>
      </c>
      <c r="BD100" s="62" t="s">
        <v>31</v>
      </c>
      <c r="BE100" s="62"/>
      <c r="BG100" s="48"/>
      <c r="BH100" s="48"/>
      <c r="BI100" s="48"/>
      <c r="BJ100" s="48">
        <v>8</v>
      </c>
      <c r="BK100" s="73">
        <v>8</v>
      </c>
      <c r="BL100" s="48"/>
    </row>
    <row r="101" spans="1:64" s="45" customFormat="1" ht="15.75">
      <c r="A101" s="95">
        <v>425</v>
      </c>
      <c r="B101" s="96" t="s">
        <v>652</v>
      </c>
      <c r="C101" s="97" t="s">
        <v>653</v>
      </c>
      <c r="D101" s="97" t="s">
        <v>654</v>
      </c>
      <c r="E101" s="97" t="s">
        <v>655</v>
      </c>
      <c r="F101" s="97" t="s">
        <v>656</v>
      </c>
      <c r="G101" s="96" t="s">
        <v>657</v>
      </c>
      <c r="H101" s="96" t="s">
        <v>123</v>
      </c>
      <c r="I101" s="96" t="s">
        <v>401</v>
      </c>
      <c r="J101" s="96" t="s">
        <v>658</v>
      </c>
      <c r="K101" s="98" t="s">
        <v>659</v>
      </c>
      <c r="L101" s="97">
        <v>449</v>
      </c>
      <c r="M101" s="96" t="s">
        <v>154</v>
      </c>
      <c r="N101" s="96"/>
      <c r="O101" s="97" t="s">
        <v>284</v>
      </c>
      <c r="P101" s="97" t="s">
        <v>31</v>
      </c>
      <c r="Q101" s="97" t="s">
        <v>31</v>
      </c>
      <c r="R101" s="97" t="s">
        <v>28</v>
      </c>
      <c r="S101" s="97" t="s">
        <v>177</v>
      </c>
      <c r="T101" s="97">
        <v>3</v>
      </c>
      <c r="U101" s="97">
        <v>9</v>
      </c>
      <c r="V101" s="97">
        <v>0</v>
      </c>
      <c r="W101" s="97">
        <v>2</v>
      </c>
      <c r="X101" s="97" t="s">
        <v>168</v>
      </c>
      <c r="Y101" s="97" t="s">
        <v>168</v>
      </c>
      <c r="Z101" s="97" t="e">
        <v>#N/A</v>
      </c>
      <c r="AA101" s="97" t="e">
        <v>#N/A</v>
      </c>
      <c r="AB101" s="97"/>
      <c r="AC101" s="97" t="s">
        <v>157</v>
      </c>
      <c r="AD101" s="97" t="s">
        <v>132</v>
      </c>
      <c r="AE101" s="97"/>
      <c r="AF101" s="97" t="s">
        <v>329</v>
      </c>
      <c r="AG101" s="97" t="s">
        <v>31</v>
      </c>
      <c r="AH101" s="97">
        <v>861</v>
      </c>
      <c r="AI101" s="97">
        <v>700</v>
      </c>
      <c r="AJ101" s="97">
        <v>900</v>
      </c>
      <c r="AK101" s="97">
        <v>18</v>
      </c>
      <c r="AL101" s="97">
        <v>0</v>
      </c>
      <c r="AM101" s="97">
        <v>90</v>
      </c>
      <c r="AN101" s="97">
        <v>15</v>
      </c>
      <c r="AO101" s="97">
        <v>12</v>
      </c>
      <c r="AP101" s="99">
        <v>0</v>
      </c>
      <c r="AQ101" s="97">
        <v>18</v>
      </c>
      <c r="AR101" s="61">
        <v>26</v>
      </c>
      <c r="AS101" s="60">
        <v>12</v>
      </c>
      <c r="AT101" s="60">
        <v>40</v>
      </c>
      <c r="AU101" s="60">
        <v>4</v>
      </c>
      <c r="AV101" s="60">
        <v>4</v>
      </c>
      <c r="AW101" s="60">
        <v>4</v>
      </c>
      <c r="AX101" s="64">
        <v>0</v>
      </c>
      <c r="AY101" s="60">
        <v>15</v>
      </c>
      <c r="AZ101" s="61">
        <v>15</v>
      </c>
      <c r="BA101" s="60">
        <v>48</v>
      </c>
      <c r="BB101" s="60">
        <v>2</v>
      </c>
      <c r="BC101" s="60" t="e">
        <f>VLOOKUP($B$9,#REF!,2,TRUE)</f>
        <v>#REF!</v>
      </c>
      <c r="BD101" s="60" t="s">
        <v>31</v>
      </c>
      <c r="BE101" s="60"/>
      <c r="BG101" s="48"/>
      <c r="BH101" s="48"/>
      <c r="BI101" s="48"/>
      <c r="BJ101" s="48">
        <v>8</v>
      </c>
      <c r="BK101" s="73">
        <v>8</v>
      </c>
      <c r="BL101" s="48"/>
    </row>
    <row r="102" spans="1:64" s="45" customFormat="1" ht="15.75">
      <c r="A102" s="95">
        <v>410</v>
      </c>
      <c r="B102" s="96" t="s">
        <v>708</v>
      </c>
      <c r="C102" s="97" t="s">
        <v>709</v>
      </c>
      <c r="D102" s="97" t="s">
        <v>517</v>
      </c>
      <c r="E102" s="97" t="s">
        <v>710</v>
      </c>
      <c r="F102" s="97" t="s">
        <v>150</v>
      </c>
      <c r="G102" s="96" t="s">
        <v>711</v>
      </c>
      <c r="H102" s="96" t="s">
        <v>123</v>
      </c>
      <c r="I102" s="96" t="s">
        <v>151</v>
      </c>
      <c r="J102" s="96" t="s">
        <v>712</v>
      </c>
      <c r="K102" s="98" t="s">
        <v>153</v>
      </c>
      <c r="L102" s="97" t="s">
        <v>713</v>
      </c>
      <c r="M102" s="96" t="s">
        <v>154</v>
      </c>
      <c r="N102" s="96"/>
      <c r="O102" s="97" t="s">
        <v>128</v>
      </c>
      <c r="P102" s="97" t="s">
        <v>31</v>
      </c>
      <c r="Q102" s="97" t="s">
        <v>31</v>
      </c>
      <c r="R102" s="97" t="s">
        <v>31</v>
      </c>
      <c r="S102" s="97" t="s">
        <v>177</v>
      </c>
      <c r="T102" s="97">
        <v>3</v>
      </c>
      <c r="U102" s="97">
        <v>9</v>
      </c>
      <c r="V102" s="97">
        <v>0</v>
      </c>
      <c r="W102" s="97">
        <v>2</v>
      </c>
      <c r="X102" s="97" t="s">
        <v>168</v>
      </c>
      <c r="Y102" s="97" t="s">
        <v>168</v>
      </c>
      <c r="Z102" s="97" t="e">
        <v>#N/A</v>
      </c>
      <c r="AA102" s="97" t="e">
        <v>#N/A</v>
      </c>
      <c r="AB102" s="97"/>
      <c r="AC102" s="97" t="s">
        <v>157</v>
      </c>
      <c r="AD102" s="97" t="s">
        <v>132</v>
      </c>
      <c r="AE102" s="97" t="s">
        <v>133</v>
      </c>
      <c r="AF102" s="97" t="s">
        <v>329</v>
      </c>
      <c r="AG102" s="97" t="s">
        <v>31</v>
      </c>
      <c r="AH102" s="97">
        <v>861</v>
      </c>
      <c r="AI102" s="97">
        <v>700</v>
      </c>
      <c r="AJ102" s="97">
        <v>900</v>
      </c>
      <c r="AK102" s="97">
        <v>18</v>
      </c>
      <c r="AL102" s="97">
        <v>0</v>
      </c>
      <c r="AM102" s="97">
        <v>90</v>
      </c>
      <c r="AN102" s="97">
        <v>15</v>
      </c>
      <c r="AO102" s="97">
        <v>12</v>
      </c>
      <c r="AP102" s="97">
        <v>0</v>
      </c>
      <c r="AQ102" s="97">
        <v>18</v>
      </c>
      <c r="AR102" s="61">
        <v>26</v>
      </c>
      <c r="AS102" s="60">
        <v>12</v>
      </c>
      <c r="AT102" s="60">
        <v>40</v>
      </c>
      <c r="AU102" s="60">
        <v>4</v>
      </c>
      <c r="AV102" s="60">
        <v>4</v>
      </c>
      <c r="AW102" s="60">
        <v>4</v>
      </c>
      <c r="AX102" s="60">
        <v>0</v>
      </c>
      <c r="AY102" s="60">
        <v>15</v>
      </c>
      <c r="AZ102" s="61">
        <v>15</v>
      </c>
      <c r="BA102" s="60">
        <v>48</v>
      </c>
      <c r="BB102" s="60">
        <v>2</v>
      </c>
      <c r="BC102" s="60" t="e">
        <f>VLOOKUP($B$9,#REF!,2,TRUE)</f>
        <v>#REF!</v>
      </c>
      <c r="BD102" s="60" t="s">
        <v>31</v>
      </c>
      <c r="BE102" s="60"/>
      <c r="BG102" s="48"/>
      <c r="BH102" s="48"/>
      <c r="BI102" s="48"/>
      <c r="BJ102" s="48">
        <v>8</v>
      </c>
      <c r="BK102" s="73">
        <v>8</v>
      </c>
      <c r="BL102" s="48"/>
    </row>
    <row r="103" spans="1:64" s="45" customFormat="1" ht="15.75">
      <c r="A103" s="95">
        <v>478</v>
      </c>
      <c r="B103" s="96" t="s">
        <v>789</v>
      </c>
      <c r="C103" s="97" t="s">
        <v>790</v>
      </c>
      <c r="D103" s="97" t="s">
        <v>791</v>
      </c>
      <c r="E103" s="97" t="s">
        <v>339</v>
      </c>
      <c r="F103" s="97" t="s">
        <v>259</v>
      </c>
      <c r="G103" s="96" t="s">
        <v>792</v>
      </c>
      <c r="H103" s="96" t="s">
        <v>123</v>
      </c>
      <c r="I103" s="96" t="s">
        <v>151</v>
      </c>
      <c r="J103" s="96" t="s">
        <v>793</v>
      </c>
      <c r="K103" s="98" t="s">
        <v>794</v>
      </c>
      <c r="L103" s="97">
        <v>510</v>
      </c>
      <c r="M103" s="96" t="s">
        <v>154</v>
      </c>
      <c r="N103" s="96"/>
      <c r="O103" s="97" t="s">
        <v>284</v>
      </c>
      <c r="P103" s="97" t="s">
        <v>31</v>
      </c>
      <c r="Q103" s="97" t="s">
        <v>31</v>
      </c>
      <c r="R103" s="97" t="s">
        <v>31</v>
      </c>
      <c r="S103" s="97" t="s">
        <v>177</v>
      </c>
      <c r="T103" s="97">
        <v>3</v>
      </c>
      <c r="U103" s="97">
        <v>9</v>
      </c>
      <c r="V103" s="97">
        <v>0</v>
      </c>
      <c r="W103" s="97">
        <v>2</v>
      </c>
      <c r="X103" s="97" t="s">
        <v>168</v>
      </c>
      <c r="Y103" s="97" t="s">
        <v>168</v>
      </c>
      <c r="Z103" s="97" t="e">
        <v>#N/A</v>
      </c>
      <c r="AA103" s="97" t="e">
        <v>#N/A</v>
      </c>
      <c r="AB103" s="97"/>
      <c r="AC103" s="97" t="s">
        <v>157</v>
      </c>
      <c r="AD103" s="97" t="s">
        <v>132</v>
      </c>
      <c r="AE103" s="97" t="s">
        <v>133</v>
      </c>
      <c r="AF103" s="97" t="s">
        <v>134</v>
      </c>
      <c r="AG103" s="97" t="s">
        <v>31</v>
      </c>
      <c r="AH103" s="97">
        <v>861</v>
      </c>
      <c r="AI103" s="97">
        <v>700</v>
      </c>
      <c r="AJ103" s="97">
        <v>900</v>
      </c>
      <c r="AK103" s="97">
        <v>18</v>
      </c>
      <c r="AL103" s="97">
        <v>0</v>
      </c>
      <c r="AM103" s="97">
        <v>90</v>
      </c>
      <c r="AN103" s="97">
        <v>15</v>
      </c>
      <c r="AO103" s="97">
        <v>12</v>
      </c>
      <c r="AP103" s="99">
        <v>0</v>
      </c>
      <c r="AQ103" s="97">
        <v>18</v>
      </c>
      <c r="AR103" s="63">
        <v>26</v>
      </c>
      <c r="AS103" s="62">
        <v>12</v>
      </c>
      <c r="AT103" s="62">
        <v>40</v>
      </c>
      <c r="AU103" s="62">
        <v>4</v>
      </c>
      <c r="AV103" s="62">
        <v>4</v>
      </c>
      <c r="AW103" s="62">
        <v>4</v>
      </c>
      <c r="AX103" s="58">
        <v>0</v>
      </c>
      <c r="AY103" s="62">
        <v>15</v>
      </c>
      <c r="AZ103" s="63">
        <v>15</v>
      </c>
      <c r="BA103" s="62">
        <v>48</v>
      </c>
      <c r="BB103" s="62">
        <v>2</v>
      </c>
      <c r="BC103" s="62" t="e">
        <f>VLOOKUP($B$9,#REF!,2,TRUE)</f>
        <v>#REF!</v>
      </c>
      <c r="BD103" s="62" t="s">
        <v>31</v>
      </c>
      <c r="BE103" s="62"/>
      <c r="BG103" s="48"/>
      <c r="BH103" s="48"/>
      <c r="BI103" s="48"/>
      <c r="BJ103" s="48">
        <v>8</v>
      </c>
      <c r="BK103" s="73">
        <v>8</v>
      </c>
      <c r="BL103" s="48"/>
    </row>
    <row r="104" spans="1:64" s="45" customFormat="1" ht="15.75">
      <c r="A104" s="95">
        <v>82</v>
      </c>
      <c r="B104" s="96" t="s">
        <v>856</v>
      </c>
      <c r="C104" s="97" t="s">
        <v>857</v>
      </c>
      <c r="D104" s="97" t="s">
        <v>858</v>
      </c>
      <c r="E104" s="97" t="s">
        <v>859</v>
      </c>
      <c r="F104" s="97" t="s">
        <v>475</v>
      </c>
      <c r="G104" s="96" t="s">
        <v>860</v>
      </c>
      <c r="H104" s="96" t="s">
        <v>137</v>
      </c>
      <c r="I104" s="96" t="s">
        <v>477</v>
      </c>
      <c r="J104" s="96" t="s">
        <v>861</v>
      </c>
      <c r="K104" s="98" t="s">
        <v>862</v>
      </c>
      <c r="L104" s="97">
        <v>617</v>
      </c>
      <c r="M104" s="96" t="s">
        <v>154</v>
      </c>
      <c r="N104" s="96"/>
      <c r="O104" s="97" t="s">
        <v>128</v>
      </c>
      <c r="P104" s="97" t="s">
        <v>31</v>
      </c>
      <c r="Q104" s="97" t="s">
        <v>31</v>
      </c>
      <c r="R104" s="97" t="s">
        <v>31</v>
      </c>
      <c r="S104" s="97" t="s">
        <v>238</v>
      </c>
      <c r="T104" s="97">
        <v>3</v>
      </c>
      <c r="U104" s="97">
        <v>9</v>
      </c>
      <c r="V104" s="97">
        <v>0</v>
      </c>
      <c r="W104" s="97">
        <v>2</v>
      </c>
      <c r="X104" s="97" t="s">
        <v>168</v>
      </c>
      <c r="Y104" s="97" t="s">
        <v>168</v>
      </c>
      <c r="Z104" s="97" t="e">
        <v>#N/A</v>
      </c>
      <c r="AA104" s="97" t="e">
        <v>#N/A</v>
      </c>
      <c r="AB104" s="97"/>
      <c r="AC104" s="97" t="s">
        <v>157</v>
      </c>
      <c r="AD104" s="97" t="s">
        <v>132</v>
      </c>
      <c r="AE104" s="97" t="s">
        <v>133</v>
      </c>
      <c r="AF104" s="97" t="s">
        <v>329</v>
      </c>
      <c r="AG104" s="97" t="s">
        <v>31</v>
      </c>
      <c r="AH104" s="97">
        <v>861</v>
      </c>
      <c r="AI104" s="97"/>
      <c r="AJ104" s="97" t="s">
        <v>135</v>
      </c>
      <c r="AK104" s="97">
        <v>18</v>
      </c>
      <c r="AL104" s="97">
        <v>0</v>
      </c>
      <c r="AM104" s="97">
        <v>90</v>
      </c>
      <c r="AN104" s="97">
        <v>15</v>
      </c>
      <c r="AO104" s="97">
        <v>12</v>
      </c>
      <c r="AP104" s="97">
        <v>0</v>
      </c>
      <c r="AQ104" s="97">
        <v>18</v>
      </c>
      <c r="AR104" s="63">
        <v>26</v>
      </c>
      <c r="AS104" s="62">
        <v>12</v>
      </c>
      <c r="AT104" s="62">
        <v>40</v>
      </c>
      <c r="AU104" s="62">
        <v>4</v>
      </c>
      <c r="AV104" s="62">
        <v>4</v>
      </c>
      <c r="AW104" s="62">
        <v>4</v>
      </c>
      <c r="AX104" s="62">
        <v>0</v>
      </c>
      <c r="AY104" s="62">
        <v>15</v>
      </c>
      <c r="AZ104" s="63">
        <v>15</v>
      </c>
      <c r="BA104" s="62">
        <v>48</v>
      </c>
      <c r="BB104" s="62">
        <v>2</v>
      </c>
      <c r="BC104" s="62" t="e">
        <f>VLOOKUP($B$9,#REF!,2,TRUE)</f>
        <v>#REF!</v>
      </c>
      <c r="BD104" s="62" t="s">
        <v>31</v>
      </c>
      <c r="BE104" s="62"/>
      <c r="BG104" s="48"/>
      <c r="BH104" s="48"/>
      <c r="BI104" s="48"/>
      <c r="BJ104" s="48">
        <v>8</v>
      </c>
      <c r="BK104" s="73">
        <v>8</v>
      </c>
      <c r="BL104" s="48"/>
    </row>
    <row r="105" spans="1:64" s="45" customFormat="1" ht="15.75">
      <c r="A105" s="95">
        <v>91</v>
      </c>
      <c r="B105" s="96" t="s">
        <v>891</v>
      </c>
      <c r="C105" s="97" t="s">
        <v>892</v>
      </c>
      <c r="D105" s="97" t="s">
        <v>893</v>
      </c>
      <c r="E105" s="97" t="s">
        <v>894</v>
      </c>
      <c r="F105" s="97" t="s">
        <v>895</v>
      </c>
      <c r="G105" s="96" t="s">
        <v>896</v>
      </c>
      <c r="H105" s="96" t="s">
        <v>137</v>
      </c>
      <c r="I105" s="96" t="s">
        <v>897</v>
      </c>
      <c r="J105" s="96" t="s">
        <v>898</v>
      </c>
      <c r="K105" s="98" t="s">
        <v>899</v>
      </c>
      <c r="L105" s="97">
        <v>981</v>
      </c>
      <c r="M105" s="96" t="s">
        <v>154</v>
      </c>
      <c r="N105" s="96"/>
      <c r="O105" s="97" t="s">
        <v>128</v>
      </c>
      <c r="P105" s="97" t="s">
        <v>31</v>
      </c>
      <c r="Q105" s="97" t="s">
        <v>31</v>
      </c>
      <c r="R105" s="97" t="s">
        <v>31</v>
      </c>
      <c r="S105" s="97" t="s">
        <v>177</v>
      </c>
      <c r="T105" s="97">
        <v>3</v>
      </c>
      <c r="U105" s="97">
        <v>9</v>
      </c>
      <c r="V105" s="97">
        <v>0</v>
      </c>
      <c r="W105" s="97">
        <v>2</v>
      </c>
      <c r="X105" s="97" t="s">
        <v>168</v>
      </c>
      <c r="Y105" s="97" t="s">
        <v>168</v>
      </c>
      <c r="Z105" s="97" t="e">
        <v>#N/A</v>
      </c>
      <c r="AA105" s="97" t="e">
        <v>#N/A</v>
      </c>
      <c r="AB105" s="97"/>
      <c r="AC105" s="97" t="s">
        <v>157</v>
      </c>
      <c r="AD105" s="97" t="s">
        <v>132</v>
      </c>
      <c r="AE105" s="97" t="s">
        <v>133</v>
      </c>
      <c r="AF105" s="97" t="s">
        <v>329</v>
      </c>
      <c r="AG105" s="97" t="s">
        <v>31</v>
      </c>
      <c r="AH105" s="97">
        <v>861</v>
      </c>
      <c r="AI105" s="97"/>
      <c r="AJ105" s="97" t="s">
        <v>135</v>
      </c>
      <c r="AK105" s="97">
        <v>18</v>
      </c>
      <c r="AL105" s="97">
        <v>0</v>
      </c>
      <c r="AM105" s="97">
        <v>90</v>
      </c>
      <c r="AN105" s="97">
        <v>15</v>
      </c>
      <c r="AO105" s="97">
        <v>12</v>
      </c>
      <c r="AP105" s="99">
        <v>0</v>
      </c>
      <c r="AQ105" s="97">
        <v>18</v>
      </c>
      <c r="AR105" s="61">
        <v>26</v>
      </c>
      <c r="AS105" s="60">
        <v>12</v>
      </c>
      <c r="AT105" s="60">
        <v>40</v>
      </c>
      <c r="AU105" s="60">
        <v>4</v>
      </c>
      <c r="AV105" s="60">
        <v>4</v>
      </c>
      <c r="AW105" s="60">
        <v>4</v>
      </c>
      <c r="AX105" s="64">
        <v>0</v>
      </c>
      <c r="AY105" s="60">
        <v>15</v>
      </c>
      <c r="AZ105" s="61">
        <v>15</v>
      </c>
      <c r="BA105" s="60">
        <v>48</v>
      </c>
      <c r="BB105" s="60">
        <v>2</v>
      </c>
      <c r="BC105" s="60" t="e">
        <f>VLOOKUP($B$9,#REF!,2,TRUE)</f>
        <v>#REF!</v>
      </c>
      <c r="BD105" s="60" t="s">
        <v>31</v>
      </c>
      <c r="BE105" s="60"/>
      <c r="BG105" s="48"/>
      <c r="BH105" s="48"/>
      <c r="BI105" s="48"/>
      <c r="BJ105" s="48">
        <v>8</v>
      </c>
      <c r="BK105" s="73">
        <v>8</v>
      </c>
      <c r="BL105" s="48"/>
    </row>
    <row r="106" spans="1:64" s="45" customFormat="1" ht="15.75">
      <c r="A106" s="95">
        <v>474</v>
      </c>
      <c r="B106" s="96" t="s">
        <v>999</v>
      </c>
      <c r="C106" s="97" t="s">
        <v>1000</v>
      </c>
      <c r="D106" s="97" t="s">
        <v>1001</v>
      </c>
      <c r="E106" s="97" t="s">
        <v>1002</v>
      </c>
      <c r="F106" s="97" t="s">
        <v>259</v>
      </c>
      <c r="G106" s="96" t="s">
        <v>1003</v>
      </c>
      <c r="H106" s="96" t="s">
        <v>123</v>
      </c>
      <c r="I106" s="96" t="s">
        <v>151</v>
      </c>
      <c r="J106" s="96" t="s">
        <v>1004</v>
      </c>
      <c r="K106" s="98" t="s">
        <v>262</v>
      </c>
      <c r="L106" s="97">
        <v>510</v>
      </c>
      <c r="M106" s="96" t="s">
        <v>154</v>
      </c>
      <c r="N106" s="96"/>
      <c r="O106" s="97" t="s">
        <v>155</v>
      </c>
      <c r="P106" s="97" t="s">
        <v>28</v>
      </c>
      <c r="Q106" s="97" t="s">
        <v>31</v>
      </c>
      <c r="R106" s="97" t="s">
        <v>31</v>
      </c>
      <c r="S106" s="97" t="s">
        <v>177</v>
      </c>
      <c r="T106" s="97">
        <v>3</v>
      </c>
      <c r="U106" s="97">
        <v>9</v>
      </c>
      <c r="V106" s="97">
        <v>0</v>
      </c>
      <c r="W106" s="97">
        <v>1</v>
      </c>
      <c r="X106" s="97" t="s">
        <v>168</v>
      </c>
      <c r="Y106" s="97" t="e">
        <v>#N/A</v>
      </c>
      <c r="Z106" s="97" t="e">
        <v>#N/A</v>
      </c>
      <c r="AA106" s="97" t="e">
        <v>#N/A</v>
      </c>
      <c r="AB106" s="97"/>
      <c r="AC106" s="97" t="s">
        <v>157</v>
      </c>
      <c r="AD106" s="97" t="s">
        <v>132</v>
      </c>
      <c r="AE106" s="97" t="s">
        <v>133</v>
      </c>
      <c r="AF106" s="97" t="s">
        <v>134</v>
      </c>
      <c r="AG106" s="97" t="s">
        <v>31</v>
      </c>
      <c r="AH106" s="97">
        <v>861</v>
      </c>
      <c r="AI106" s="97">
        <v>500</v>
      </c>
      <c r="AJ106" s="97" t="s">
        <v>369</v>
      </c>
      <c r="AK106" s="97">
        <v>18</v>
      </c>
      <c r="AL106" s="97">
        <v>0</v>
      </c>
      <c r="AM106" s="97">
        <v>90</v>
      </c>
      <c r="AN106" s="97">
        <v>15</v>
      </c>
      <c r="AO106" s="97">
        <v>12</v>
      </c>
      <c r="AP106" s="97">
        <v>0</v>
      </c>
      <c r="AQ106" s="97">
        <v>18</v>
      </c>
      <c r="AR106" s="63">
        <v>26</v>
      </c>
      <c r="AS106" s="62">
        <v>12</v>
      </c>
      <c r="AT106" s="62">
        <v>40</v>
      </c>
      <c r="AU106" s="62">
        <v>4</v>
      </c>
      <c r="AV106" s="62">
        <v>4</v>
      </c>
      <c r="AW106" s="62">
        <v>4</v>
      </c>
      <c r="AX106" s="62">
        <v>0</v>
      </c>
      <c r="AY106" s="62">
        <v>17</v>
      </c>
      <c r="AZ106" s="63">
        <v>15</v>
      </c>
      <c r="BA106" s="62">
        <v>48</v>
      </c>
      <c r="BB106" s="62">
        <v>2</v>
      </c>
      <c r="BC106" s="62" t="e">
        <f>VLOOKUP($B$9,#REF!,2,TRUE)</f>
        <v>#REF!</v>
      </c>
      <c r="BD106" s="62" t="s">
        <v>31</v>
      </c>
      <c r="BE106" s="62"/>
      <c r="BG106" s="48"/>
      <c r="BH106" s="48"/>
      <c r="BI106" s="48"/>
      <c r="BJ106" s="48">
        <v>8</v>
      </c>
      <c r="BK106" s="73">
        <v>8</v>
      </c>
      <c r="BL106" s="48"/>
    </row>
    <row r="107" spans="1:64" s="45" customFormat="1" ht="15.75">
      <c r="A107" s="95">
        <v>471</v>
      </c>
      <c r="B107" s="96" t="s">
        <v>1021</v>
      </c>
      <c r="C107" s="97" t="s">
        <v>1022</v>
      </c>
      <c r="D107" s="97" t="s">
        <v>1023</v>
      </c>
      <c r="E107" s="97" t="s">
        <v>683</v>
      </c>
      <c r="F107" s="97" t="s">
        <v>512</v>
      </c>
      <c r="G107" s="96" t="s">
        <v>1024</v>
      </c>
      <c r="H107" s="96" t="s">
        <v>123</v>
      </c>
      <c r="I107" s="96" t="s">
        <v>124</v>
      </c>
      <c r="J107" s="96" t="s">
        <v>1025</v>
      </c>
      <c r="K107" s="98" t="s">
        <v>126</v>
      </c>
      <c r="L107" s="97">
        <v>510</v>
      </c>
      <c r="M107" s="96" t="s">
        <v>154</v>
      </c>
      <c r="N107" s="96"/>
      <c r="O107" s="97" t="s">
        <v>128</v>
      </c>
      <c r="P107" s="97" t="s">
        <v>31</v>
      </c>
      <c r="Q107" s="97" t="s">
        <v>31</v>
      </c>
      <c r="R107" s="97" t="s">
        <v>31</v>
      </c>
      <c r="S107" s="97" t="s">
        <v>177</v>
      </c>
      <c r="T107" s="97">
        <v>3</v>
      </c>
      <c r="U107" s="97">
        <v>9</v>
      </c>
      <c r="V107" s="97">
        <v>0</v>
      </c>
      <c r="W107" s="97">
        <v>0</v>
      </c>
      <c r="X107" s="97" t="e">
        <v>#N/A</v>
      </c>
      <c r="Y107" s="97" t="e">
        <v>#N/A</v>
      </c>
      <c r="Z107" s="97" t="e">
        <v>#N/A</v>
      </c>
      <c r="AA107" s="97" t="e">
        <v>#N/A</v>
      </c>
      <c r="AB107" s="97"/>
      <c r="AC107" s="97" t="s">
        <v>157</v>
      </c>
      <c r="AD107" s="97" t="s">
        <v>132</v>
      </c>
      <c r="AE107" s="97" t="s">
        <v>133</v>
      </c>
      <c r="AF107" s="97" t="s">
        <v>134</v>
      </c>
      <c r="AG107" s="97" t="s">
        <v>31</v>
      </c>
      <c r="AH107" s="97">
        <v>861</v>
      </c>
      <c r="AI107" s="97">
        <v>500</v>
      </c>
      <c r="AJ107" s="97" t="s">
        <v>369</v>
      </c>
      <c r="AK107" s="97">
        <v>18</v>
      </c>
      <c r="AL107" s="97">
        <v>0</v>
      </c>
      <c r="AM107" s="97">
        <v>90</v>
      </c>
      <c r="AN107" s="97">
        <v>15</v>
      </c>
      <c r="AO107" s="97">
        <v>12</v>
      </c>
      <c r="AP107" s="99">
        <v>0</v>
      </c>
      <c r="AQ107" s="97">
        <v>18</v>
      </c>
      <c r="AR107" s="61">
        <v>26</v>
      </c>
      <c r="AS107" s="60">
        <v>12</v>
      </c>
      <c r="AT107" s="60">
        <v>40</v>
      </c>
      <c r="AU107" s="60">
        <v>4</v>
      </c>
      <c r="AV107" s="60">
        <v>4</v>
      </c>
      <c r="AW107" s="60">
        <v>4</v>
      </c>
      <c r="AX107" s="64">
        <v>0</v>
      </c>
      <c r="AY107" s="60">
        <v>15</v>
      </c>
      <c r="AZ107" s="61">
        <v>15</v>
      </c>
      <c r="BA107" s="60">
        <v>48</v>
      </c>
      <c r="BB107" s="60">
        <v>2</v>
      </c>
      <c r="BC107" s="60" t="e">
        <f>VLOOKUP($B$9,#REF!,2,TRUE)</f>
        <v>#REF!</v>
      </c>
      <c r="BD107" s="60" t="s">
        <v>31</v>
      </c>
      <c r="BE107" s="60"/>
      <c r="BG107" s="48"/>
      <c r="BH107" s="48"/>
      <c r="BI107" s="48"/>
      <c r="BJ107" s="48">
        <v>8</v>
      </c>
      <c r="BK107" s="73">
        <v>8</v>
      </c>
      <c r="BL107" s="48"/>
    </row>
    <row r="108" spans="1:64" s="45" customFormat="1" ht="15.75">
      <c r="A108" s="95">
        <v>473</v>
      </c>
      <c r="B108" s="96" t="s">
        <v>1033</v>
      </c>
      <c r="C108" s="97" t="s">
        <v>1034</v>
      </c>
      <c r="D108" s="97" t="s">
        <v>1035</v>
      </c>
      <c r="E108" s="97" t="s">
        <v>1036</v>
      </c>
      <c r="F108" s="97" t="s">
        <v>1037</v>
      </c>
      <c r="G108" s="96" t="s">
        <v>1038</v>
      </c>
      <c r="H108" s="96" t="s">
        <v>123</v>
      </c>
      <c r="I108" s="96" t="s">
        <v>151</v>
      </c>
      <c r="J108" s="96" t="s">
        <v>1039</v>
      </c>
      <c r="K108" s="98" t="s">
        <v>602</v>
      </c>
      <c r="L108" s="97">
        <v>510</v>
      </c>
      <c r="M108" s="96" t="s">
        <v>154</v>
      </c>
      <c r="N108" s="96"/>
      <c r="O108" s="97" t="s">
        <v>155</v>
      </c>
      <c r="P108" s="97" t="s">
        <v>28</v>
      </c>
      <c r="Q108" s="97" t="s">
        <v>31</v>
      </c>
      <c r="R108" s="97" t="s">
        <v>31</v>
      </c>
      <c r="S108" s="97" t="s">
        <v>177</v>
      </c>
      <c r="T108" s="97">
        <v>3</v>
      </c>
      <c r="U108" s="97">
        <v>9</v>
      </c>
      <c r="V108" s="97">
        <v>0</v>
      </c>
      <c r="W108" s="97">
        <v>2</v>
      </c>
      <c r="X108" s="97" t="s">
        <v>168</v>
      </c>
      <c r="Y108" s="97" t="s">
        <v>168</v>
      </c>
      <c r="Z108" s="97" t="e">
        <v>#N/A</v>
      </c>
      <c r="AA108" s="97" t="e">
        <v>#N/A</v>
      </c>
      <c r="AB108" s="97"/>
      <c r="AC108" s="97" t="s">
        <v>157</v>
      </c>
      <c r="AD108" s="97" t="s">
        <v>132</v>
      </c>
      <c r="AE108" s="97" t="s">
        <v>133</v>
      </c>
      <c r="AF108" s="97" t="s">
        <v>134</v>
      </c>
      <c r="AG108" s="97" t="s">
        <v>31</v>
      </c>
      <c r="AH108" s="97">
        <v>861</v>
      </c>
      <c r="AI108" s="97">
        <v>500</v>
      </c>
      <c r="AJ108" s="97" t="s">
        <v>369</v>
      </c>
      <c r="AK108" s="97">
        <v>18</v>
      </c>
      <c r="AL108" s="97">
        <v>0</v>
      </c>
      <c r="AM108" s="97">
        <v>90</v>
      </c>
      <c r="AN108" s="97">
        <v>15</v>
      </c>
      <c r="AO108" s="97">
        <v>12</v>
      </c>
      <c r="AP108" s="97">
        <v>0</v>
      </c>
      <c r="AQ108" s="97">
        <v>18</v>
      </c>
      <c r="AR108" s="63">
        <v>26</v>
      </c>
      <c r="AS108" s="62">
        <v>12</v>
      </c>
      <c r="AT108" s="62">
        <v>40</v>
      </c>
      <c r="AU108" s="62">
        <v>4</v>
      </c>
      <c r="AV108" s="62">
        <v>4</v>
      </c>
      <c r="AW108" s="62">
        <v>4</v>
      </c>
      <c r="AX108" s="60">
        <v>0</v>
      </c>
      <c r="AY108" s="60">
        <v>15</v>
      </c>
      <c r="AZ108" s="63">
        <v>15</v>
      </c>
      <c r="BA108" s="62">
        <v>48</v>
      </c>
      <c r="BB108" s="62">
        <v>2</v>
      </c>
      <c r="BC108" s="62" t="e">
        <f>VLOOKUP($B$9,#REF!,2,TRUE)</f>
        <v>#REF!</v>
      </c>
      <c r="BD108" s="62" t="s">
        <v>31</v>
      </c>
      <c r="BE108" s="62"/>
      <c r="BG108" s="48"/>
      <c r="BH108" s="48"/>
      <c r="BI108" s="48"/>
      <c r="BJ108" s="48">
        <v>8</v>
      </c>
      <c r="BK108" s="73">
        <v>8</v>
      </c>
      <c r="BL108" s="48"/>
    </row>
    <row r="109" spans="1:64" s="45" customFormat="1" ht="15.75">
      <c r="A109" s="95">
        <v>469</v>
      </c>
      <c r="B109" s="96" t="s">
        <v>1116</v>
      </c>
      <c r="C109" s="97" t="s">
        <v>1117</v>
      </c>
      <c r="D109" s="97" t="s">
        <v>1118</v>
      </c>
      <c r="E109" s="97" t="s">
        <v>1119</v>
      </c>
      <c r="F109" s="97" t="s">
        <v>366</v>
      </c>
      <c r="G109" s="96" t="s">
        <v>1120</v>
      </c>
      <c r="H109" s="96" t="s">
        <v>123</v>
      </c>
      <c r="I109" s="96" t="s">
        <v>124</v>
      </c>
      <c r="J109" s="96" t="s">
        <v>1121</v>
      </c>
      <c r="K109" s="98" t="s">
        <v>307</v>
      </c>
      <c r="L109" s="97">
        <v>510</v>
      </c>
      <c r="M109" s="96" t="s">
        <v>154</v>
      </c>
      <c r="N109" s="96"/>
      <c r="O109" s="97" t="s">
        <v>155</v>
      </c>
      <c r="P109" s="97" t="s">
        <v>28</v>
      </c>
      <c r="Q109" s="97" t="s">
        <v>31</v>
      </c>
      <c r="R109" s="97" t="s">
        <v>31</v>
      </c>
      <c r="S109" s="97" t="s">
        <v>177</v>
      </c>
      <c r="T109" s="97">
        <v>3</v>
      </c>
      <c r="U109" s="97">
        <v>9</v>
      </c>
      <c r="V109" s="97">
        <v>0</v>
      </c>
      <c r="W109" s="97">
        <v>2</v>
      </c>
      <c r="X109" s="97" t="s">
        <v>168</v>
      </c>
      <c r="Y109" s="97" t="s">
        <v>168</v>
      </c>
      <c r="Z109" s="97" t="e">
        <v>#N/A</v>
      </c>
      <c r="AA109" s="97" t="e">
        <v>#N/A</v>
      </c>
      <c r="AB109" s="97"/>
      <c r="AC109" s="97" t="s">
        <v>157</v>
      </c>
      <c r="AD109" s="97" t="s">
        <v>132</v>
      </c>
      <c r="AE109" s="97" t="s">
        <v>169</v>
      </c>
      <c r="AF109" s="97" t="s">
        <v>134</v>
      </c>
      <c r="AG109" s="97" t="s">
        <v>31</v>
      </c>
      <c r="AH109" s="97">
        <v>861</v>
      </c>
      <c r="AI109" s="97">
        <v>500</v>
      </c>
      <c r="AJ109" s="97" t="s">
        <v>369</v>
      </c>
      <c r="AK109" s="97">
        <v>18</v>
      </c>
      <c r="AL109" s="97">
        <v>0</v>
      </c>
      <c r="AM109" s="97">
        <v>90</v>
      </c>
      <c r="AN109" s="97">
        <v>15</v>
      </c>
      <c r="AO109" s="97">
        <v>12</v>
      </c>
      <c r="AP109" s="99">
        <v>0</v>
      </c>
      <c r="AQ109" s="97">
        <v>18</v>
      </c>
      <c r="AR109" s="63">
        <v>26</v>
      </c>
      <c r="AS109" s="62">
        <v>12</v>
      </c>
      <c r="AT109" s="62">
        <v>40</v>
      </c>
      <c r="AU109" s="62">
        <v>4</v>
      </c>
      <c r="AV109" s="62">
        <v>4</v>
      </c>
      <c r="AW109" s="62">
        <v>4</v>
      </c>
      <c r="AX109" s="58">
        <v>0</v>
      </c>
      <c r="AY109" s="62">
        <v>15</v>
      </c>
      <c r="AZ109" s="63">
        <v>15</v>
      </c>
      <c r="BA109" s="62">
        <v>48</v>
      </c>
      <c r="BB109" s="62">
        <v>2</v>
      </c>
      <c r="BC109" s="62" t="e">
        <f>VLOOKUP($B$9,#REF!,2,TRUE)</f>
        <v>#REF!</v>
      </c>
      <c r="BD109" s="62" t="s">
        <v>31</v>
      </c>
      <c r="BE109" s="62"/>
      <c r="BG109" s="48"/>
      <c r="BH109" s="48"/>
      <c r="BI109" s="48"/>
      <c r="BJ109" s="48">
        <v>8</v>
      </c>
      <c r="BK109" s="73">
        <v>8</v>
      </c>
      <c r="BL109" s="48"/>
    </row>
    <row r="110" spans="1:64" s="45" customFormat="1" ht="15.75">
      <c r="A110" s="95">
        <v>477</v>
      </c>
      <c r="B110" s="96" t="s">
        <v>1147</v>
      </c>
      <c r="C110" s="97" t="s">
        <v>1148</v>
      </c>
      <c r="D110" s="97" t="s">
        <v>1149</v>
      </c>
      <c r="E110" s="97" t="s">
        <v>1150</v>
      </c>
      <c r="F110" s="97" t="s">
        <v>143</v>
      </c>
      <c r="G110" s="96" t="s">
        <v>1151</v>
      </c>
      <c r="H110" s="96" t="s">
        <v>123</v>
      </c>
      <c r="I110" s="96" t="s">
        <v>151</v>
      </c>
      <c r="J110" s="96" t="s">
        <v>1152</v>
      </c>
      <c r="K110" s="98" t="s">
        <v>153</v>
      </c>
      <c r="L110" s="97">
        <v>510</v>
      </c>
      <c r="M110" s="96" t="s">
        <v>154</v>
      </c>
      <c r="N110" s="96"/>
      <c r="O110" s="97" t="s">
        <v>155</v>
      </c>
      <c r="P110" s="97" t="s">
        <v>28</v>
      </c>
      <c r="Q110" s="97" t="s">
        <v>31</v>
      </c>
      <c r="R110" s="97" t="s">
        <v>31</v>
      </c>
      <c r="S110" s="97" t="s">
        <v>177</v>
      </c>
      <c r="T110" s="97">
        <v>3</v>
      </c>
      <c r="U110" s="97">
        <v>9</v>
      </c>
      <c r="V110" s="97">
        <v>0</v>
      </c>
      <c r="W110" s="97">
        <v>2</v>
      </c>
      <c r="X110" s="97" t="s">
        <v>168</v>
      </c>
      <c r="Y110" s="97" t="s">
        <v>168</v>
      </c>
      <c r="Z110" s="97" t="e">
        <v>#N/A</v>
      </c>
      <c r="AA110" s="97" t="e">
        <v>#N/A</v>
      </c>
      <c r="AB110" s="97"/>
      <c r="AC110" s="97" t="s">
        <v>157</v>
      </c>
      <c r="AD110" s="97" t="s">
        <v>132</v>
      </c>
      <c r="AE110" s="97" t="s">
        <v>133</v>
      </c>
      <c r="AF110" s="97" t="s">
        <v>329</v>
      </c>
      <c r="AG110" s="97" t="s">
        <v>31</v>
      </c>
      <c r="AH110" s="97">
        <v>861</v>
      </c>
      <c r="AI110" s="97">
        <v>500</v>
      </c>
      <c r="AJ110" s="97" t="s">
        <v>369</v>
      </c>
      <c r="AK110" s="97">
        <v>18</v>
      </c>
      <c r="AL110" s="97">
        <v>0</v>
      </c>
      <c r="AM110" s="97">
        <v>90</v>
      </c>
      <c r="AN110" s="97">
        <v>15</v>
      </c>
      <c r="AO110" s="97">
        <v>12</v>
      </c>
      <c r="AP110" s="97">
        <v>0</v>
      </c>
      <c r="AQ110" s="97">
        <v>18</v>
      </c>
      <c r="AR110" s="61">
        <v>26</v>
      </c>
      <c r="AS110" s="60">
        <v>12</v>
      </c>
      <c r="AT110" s="60">
        <v>40</v>
      </c>
      <c r="AU110" s="60">
        <v>4</v>
      </c>
      <c r="AV110" s="60">
        <v>4</v>
      </c>
      <c r="AW110" s="60">
        <v>4</v>
      </c>
      <c r="AX110" s="60">
        <v>0</v>
      </c>
      <c r="AY110" s="60">
        <v>17</v>
      </c>
      <c r="AZ110" s="61">
        <v>15</v>
      </c>
      <c r="BA110" s="60">
        <v>48</v>
      </c>
      <c r="BB110" s="60">
        <v>2</v>
      </c>
      <c r="BC110" s="60" t="e">
        <f>VLOOKUP($B$9,#REF!,2,TRUE)</f>
        <v>#REF!</v>
      </c>
      <c r="BD110" s="60" t="s">
        <v>31</v>
      </c>
      <c r="BE110" s="60"/>
      <c r="BG110" s="48"/>
      <c r="BH110" s="48"/>
      <c r="BI110" s="48"/>
      <c r="BJ110" s="48">
        <v>8</v>
      </c>
      <c r="BK110" s="73">
        <v>8</v>
      </c>
      <c r="BL110" s="48"/>
    </row>
    <row r="111" spans="1:64" s="45" customFormat="1" ht="15.75">
      <c r="A111" s="95">
        <v>476</v>
      </c>
      <c r="B111" s="96" t="s">
        <v>1183</v>
      </c>
      <c r="C111" s="97" t="s">
        <v>1184</v>
      </c>
      <c r="D111" s="97" t="s">
        <v>1185</v>
      </c>
      <c r="E111" s="97" t="s">
        <v>1186</v>
      </c>
      <c r="F111" s="97" t="s">
        <v>1113</v>
      </c>
      <c r="G111" s="96" t="s">
        <v>1187</v>
      </c>
      <c r="H111" s="96" t="s">
        <v>123</v>
      </c>
      <c r="I111" s="96" t="s">
        <v>401</v>
      </c>
      <c r="J111" s="96" t="s">
        <v>1188</v>
      </c>
      <c r="K111" s="98" t="s">
        <v>546</v>
      </c>
      <c r="L111" s="97">
        <v>510</v>
      </c>
      <c r="M111" s="96" t="s">
        <v>154</v>
      </c>
      <c r="N111" s="96"/>
      <c r="O111" s="97" t="s">
        <v>155</v>
      </c>
      <c r="P111" s="97" t="s">
        <v>28</v>
      </c>
      <c r="Q111" s="97" t="s">
        <v>31</v>
      </c>
      <c r="R111" s="97" t="s">
        <v>31</v>
      </c>
      <c r="S111" s="97" t="s">
        <v>177</v>
      </c>
      <c r="T111" s="97">
        <v>3</v>
      </c>
      <c r="U111" s="97">
        <v>9</v>
      </c>
      <c r="V111" s="97">
        <v>0</v>
      </c>
      <c r="W111" s="97">
        <v>1</v>
      </c>
      <c r="X111" s="97" t="s">
        <v>168</v>
      </c>
      <c r="Y111" s="97" t="e">
        <v>#N/A</v>
      </c>
      <c r="Z111" s="97" t="e">
        <v>#N/A</v>
      </c>
      <c r="AA111" s="97" t="e">
        <v>#N/A</v>
      </c>
      <c r="AB111" s="97"/>
      <c r="AC111" s="97" t="s">
        <v>157</v>
      </c>
      <c r="AD111" s="97" t="s">
        <v>132</v>
      </c>
      <c r="AE111" s="97" t="s">
        <v>133</v>
      </c>
      <c r="AF111" s="97" t="s">
        <v>329</v>
      </c>
      <c r="AG111" s="97" t="s">
        <v>31</v>
      </c>
      <c r="AH111" s="97">
        <v>861</v>
      </c>
      <c r="AI111" s="97">
        <v>500</v>
      </c>
      <c r="AJ111" s="97" t="s">
        <v>369</v>
      </c>
      <c r="AK111" s="97">
        <v>18</v>
      </c>
      <c r="AL111" s="97">
        <v>0</v>
      </c>
      <c r="AM111" s="97">
        <v>90</v>
      </c>
      <c r="AN111" s="97">
        <v>15</v>
      </c>
      <c r="AO111" s="97">
        <v>12</v>
      </c>
      <c r="AP111" s="99">
        <v>0</v>
      </c>
      <c r="AQ111" s="97">
        <v>18</v>
      </c>
      <c r="AR111" s="61">
        <v>26</v>
      </c>
      <c r="AS111" s="60">
        <v>12</v>
      </c>
      <c r="AT111" s="60">
        <v>40</v>
      </c>
      <c r="AU111" s="60">
        <v>4</v>
      </c>
      <c r="AV111" s="60">
        <v>4</v>
      </c>
      <c r="AW111" s="60">
        <v>4</v>
      </c>
      <c r="AX111" s="64">
        <v>0</v>
      </c>
      <c r="AY111" s="60">
        <v>15</v>
      </c>
      <c r="AZ111" s="61">
        <v>15</v>
      </c>
      <c r="BA111" s="60">
        <v>48</v>
      </c>
      <c r="BB111" s="60">
        <v>2</v>
      </c>
      <c r="BC111" s="60" t="e">
        <f>VLOOKUP($B$9,#REF!,2,TRUE)</f>
        <v>#REF!</v>
      </c>
      <c r="BD111" s="60" t="s">
        <v>31</v>
      </c>
      <c r="BE111" s="60"/>
      <c r="BG111" s="48"/>
      <c r="BH111" s="48"/>
      <c r="BI111" s="48"/>
      <c r="BJ111" s="48">
        <v>8</v>
      </c>
      <c r="BK111" s="73">
        <v>8</v>
      </c>
      <c r="BL111" s="48"/>
    </row>
    <row r="112" spans="1:64" s="45" customFormat="1" ht="15.75">
      <c r="A112" s="95">
        <v>470</v>
      </c>
      <c r="B112" s="96" t="s">
        <v>1195</v>
      </c>
      <c r="C112" s="97" t="s">
        <v>1196</v>
      </c>
      <c r="D112" s="97" t="s">
        <v>1197</v>
      </c>
      <c r="E112" s="97" t="s">
        <v>1198</v>
      </c>
      <c r="F112" s="97" t="s">
        <v>143</v>
      </c>
      <c r="G112" s="96" t="s">
        <v>1199</v>
      </c>
      <c r="H112" s="96" t="s">
        <v>123</v>
      </c>
      <c r="I112" s="96" t="s">
        <v>151</v>
      </c>
      <c r="J112" s="96" t="s">
        <v>1200</v>
      </c>
      <c r="K112" s="98" t="s">
        <v>602</v>
      </c>
      <c r="L112" s="97">
        <v>510</v>
      </c>
      <c r="M112" s="96" t="s">
        <v>154</v>
      </c>
      <c r="N112" s="96"/>
      <c r="O112" s="97" t="s">
        <v>155</v>
      </c>
      <c r="P112" s="97" t="s">
        <v>28</v>
      </c>
      <c r="Q112" s="97" t="s">
        <v>31</v>
      </c>
      <c r="R112" s="97" t="s">
        <v>31</v>
      </c>
      <c r="S112" s="97" t="s">
        <v>177</v>
      </c>
      <c r="T112" s="97">
        <v>3</v>
      </c>
      <c r="U112" s="97">
        <v>9</v>
      </c>
      <c r="V112" s="97">
        <v>0</v>
      </c>
      <c r="W112" s="97">
        <v>2</v>
      </c>
      <c r="X112" s="97" t="s">
        <v>168</v>
      </c>
      <c r="Y112" s="97" t="s">
        <v>168</v>
      </c>
      <c r="Z112" s="97" t="e">
        <v>#N/A</v>
      </c>
      <c r="AA112" s="97" t="e">
        <v>#N/A</v>
      </c>
      <c r="AB112" s="97"/>
      <c r="AC112" s="97" t="s">
        <v>157</v>
      </c>
      <c r="AD112" s="97" t="s">
        <v>132</v>
      </c>
      <c r="AE112" s="97" t="s">
        <v>133</v>
      </c>
      <c r="AF112" s="97" t="s">
        <v>134</v>
      </c>
      <c r="AG112" s="97" t="s">
        <v>31</v>
      </c>
      <c r="AH112" s="97">
        <v>861</v>
      </c>
      <c r="AI112" s="97"/>
      <c r="AJ112" s="97" t="s">
        <v>135</v>
      </c>
      <c r="AK112" s="97">
        <v>18</v>
      </c>
      <c r="AL112" s="97">
        <v>0</v>
      </c>
      <c r="AM112" s="97">
        <v>90</v>
      </c>
      <c r="AN112" s="97">
        <v>15</v>
      </c>
      <c r="AO112" s="97">
        <v>12</v>
      </c>
      <c r="AP112" s="97">
        <v>0</v>
      </c>
      <c r="AQ112" s="97">
        <v>18</v>
      </c>
      <c r="AR112" s="61">
        <v>26</v>
      </c>
      <c r="AS112" s="60">
        <v>12</v>
      </c>
      <c r="AT112" s="60">
        <v>40</v>
      </c>
      <c r="AU112" s="60">
        <v>4</v>
      </c>
      <c r="AV112" s="60">
        <v>4</v>
      </c>
      <c r="AW112" s="60">
        <v>4</v>
      </c>
      <c r="AX112" s="60">
        <v>0</v>
      </c>
      <c r="AY112" s="60">
        <v>15</v>
      </c>
      <c r="AZ112" s="61">
        <v>15</v>
      </c>
      <c r="BA112" s="60">
        <v>48</v>
      </c>
      <c r="BB112" s="60">
        <v>2</v>
      </c>
      <c r="BC112" s="60" t="e">
        <f>VLOOKUP($B$9,#REF!,2,TRUE)</f>
        <v>#REF!</v>
      </c>
      <c r="BD112" s="60" t="s">
        <v>31</v>
      </c>
      <c r="BE112" s="60"/>
      <c r="BG112" s="48"/>
      <c r="BH112" s="48"/>
      <c r="BI112" s="48"/>
      <c r="BJ112" s="48">
        <v>8</v>
      </c>
      <c r="BK112" s="73">
        <v>8</v>
      </c>
      <c r="BL112" s="48"/>
    </row>
    <row r="113" spans="1:64" s="45" customFormat="1" ht="15.75">
      <c r="A113" s="95">
        <v>475</v>
      </c>
      <c r="B113" s="96" t="s">
        <v>1201</v>
      </c>
      <c r="C113" s="97" t="s">
        <v>1202</v>
      </c>
      <c r="D113" s="97" t="s">
        <v>1203</v>
      </c>
      <c r="E113" s="97" t="s">
        <v>1204</v>
      </c>
      <c r="F113" s="97" t="s">
        <v>143</v>
      </c>
      <c r="G113" s="96" t="s">
        <v>1205</v>
      </c>
      <c r="H113" s="96" t="s">
        <v>123</v>
      </c>
      <c r="I113" s="96" t="s">
        <v>151</v>
      </c>
      <c r="J113" s="96" t="s">
        <v>1206</v>
      </c>
      <c r="K113" s="98" t="s">
        <v>602</v>
      </c>
      <c r="L113" s="97">
        <v>510</v>
      </c>
      <c r="M113" s="96" t="s">
        <v>154</v>
      </c>
      <c r="N113" s="96"/>
      <c r="O113" s="97" t="s">
        <v>155</v>
      </c>
      <c r="P113" s="97" t="s">
        <v>28</v>
      </c>
      <c r="Q113" s="97" t="s">
        <v>31</v>
      </c>
      <c r="R113" s="97" t="s">
        <v>31</v>
      </c>
      <c r="S113" s="97" t="s">
        <v>177</v>
      </c>
      <c r="T113" s="97">
        <v>3</v>
      </c>
      <c r="U113" s="97">
        <v>9</v>
      </c>
      <c r="V113" s="97">
        <v>0</v>
      </c>
      <c r="W113" s="97">
        <v>2</v>
      </c>
      <c r="X113" s="97" t="s">
        <v>168</v>
      </c>
      <c r="Y113" s="97" t="s">
        <v>168</v>
      </c>
      <c r="Z113" s="97" t="e">
        <v>#N/A</v>
      </c>
      <c r="AA113" s="97" t="e">
        <v>#N/A</v>
      </c>
      <c r="AB113" s="97"/>
      <c r="AC113" s="97" t="s">
        <v>157</v>
      </c>
      <c r="AD113" s="97" t="s">
        <v>132</v>
      </c>
      <c r="AE113" s="97" t="s">
        <v>133</v>
      </c>
      <c r="AF113" s="97" t="s">
        <v>134</v>
      </c>
      <c r="AG113" s="97" t="s">
        <v>31</v>
      </c>
      <c r="AH113" s="97">
        <v>861</v>
      </c>
      <c r="AI113" s="97"/>
      <c r="AJ113" s="97" t="s">
        <v>135</v>
      </c>
      <c r="AK113" s="97">
        <v>18</v>
      </c>
      <c r="AL113" s="97">
        <v>0</v>
      </c>
      <c r="AM113" s="97">
        <v>90</v>
      </c>
      <c r="AN113" s="97">
        <v>15</v>
      </c>
      <c r="AO113" s="97">
        <v>12</v>
      </c>
      <c r="AP113" s="99">
        <v>0</v>
      </c>
      <c r="AQ113" s="97">
        <v>18</v>
      </c>
      <c r="AR113" s="63">
        <v>26</v>
      </c>
      <c r="AS113" s="62">
        <v>12</v>
      </c>
      <c r="AT113" s="62">
        <v>40</v>
      </c>
      <c r="AU113" s="62">
        <v>4</v>
      </c>
      <c r="AV113" s="62">
        <v>4</v>
      </c>
      <c r="AW113" s="62">
        <v>4</v>
      </c>
      <c r="AX113" s="58">
        <v>0</v>
      </c>
      <c r="AY113" s="62">
        <v>15</v>
      </c>
      <c r="AZ113" s="63">
        <v>15</v>
      </c>
      <c r="BA113" s="62">
        <v>48</v>
      </c>
      <c r="BB113" s="62">
        <v>2</v>
      </c>
      <c r="BC113" s="62" t="e">
        <f>VLOOKUP($B$9,#REF!,2,TRUE)</f>
        <v>#REF!</v>
      </c>
      <c r="BD113" s="62" t="s">
        <v>31</v>
      </c>
      <c r="BE113" s="62"/>
      <c r="BG113" s="48"/>
      <c r="BH113" s="48"/>
      <c r="BI113" s="48"/>
      <c r="BJ113" s="48">
        <v>8</v>
      </c>
      <c r="BK113" s="73">
        <v>8</v>
      </c>
      <c r="BL113" s="48"/>
    </row>
    <row r="114" spans="1:64" s="45" customFormat="1" ht="15.75">
      <c r="A114" s="95">
        <v>16</v>
      </c>
      <c r="B114" s="96" t="s">
        <v>185</v>
      </c>
      <c r="C114" s="97" t="s">
        <v>186</v>
      </c>
      <c r="D114" s="97" t="s">
        <v>187</v>
      </c>
      <c r="E114" s="97" t="s">
        <v>188</v>
      </c>
      <c r="F114" s="97" t="s">
        <v>163</v>
      </c>
      <c r="G114" s="96" t="s">
        <v>189</v>
      </c>
      <c r="H114" s="96" t="s">
        <v>123</v>
      </c>
      <c r="I114" s="96" t="s">
        <v>124</v>
      </c>
      <c r="J114" s="96" t="s">
        <v>190</v>
      </c>
      <c r="K114" s="98" t="s">
        <v>191</v>
      </c>
      <c r="L114" s="97">
        <v>500</v>
      </c>
      <c r="M114" s="96" t="s">
        <v>154</v>
      </c>
      <c r="N114" s="96"/>
      <c r="O114" s="97" t="s">
        <v>155</v>
      </c>
      <c r="P114" s="97" t="s">
        <v>28</v>
      </c>
      <c r="Q114" s="97" t="s">
        <v>31</v>
      </c>
      <c r="R114" s="97" t="s">
        <v>31</v>
      </c>
      <c r="S114" s="97" t="s">
        <v>177</v>
      </c>
      <c r="T114" s="97">
        <v>3</v>
      </c>
      <c r="U114" s="97">
        <v>10</v>
      </c>
      <c r="V114" s="97">
        <v>0</v>
      </c>
      <c r="W114" s="97">
        <v>1</v>
      </c>
      <c r="X114" s="97" t="s">
        <v>168</v>
      </c>
      <c r="Y114" s="97" t="e">
        <v>#N/A</v>
      </c>
      <c r="Z114" s="97" t="e">
        <v>#N/A</v>
      </c>
      <c r="AA114" s="97" t="e">
        <v>#N/A</v>
      </c>
      <c r="AB114" s="97"/>
      <c r="AC114" s="97" t="s">
        <v>157</v>
      </c>
      <c r="AD114" s="97" t="s">
        <v>132</v>
      </c>
      <c r="AE114" s="97" t="s">
        <v>169</v>
      </c>
      <c r="AF114" s="97" t="s">
        <v>134</v>
      </c>
      <c r="AG114" s="97" t="s">
        <v>31</v>
      </c>
      <c r="AH114" s="97">
        <v>941</v>
      </c>
      <c r="AI114" s="97">
        <v>700</v>
      </c>
      <c r="AJ114" s="97">
        <v>900</v>
      </c>
      <c r="AK114" s="97">
        <v>20</v>
      </c>
      <c r="AL114" s="97">
        <v>0</v>
      </c>
      <c r="AM114" s="97">
        <v>100</v>
      </c>
      <c r="AN114" s="97">
        <v>15</v>
      </c>
      <c r="AO114" s="97">
        <v>12</v>
      </c>
      <c r="AP114" s="97">
        <v>0</v>
      </c>
      <c r="AQ114" s="97">
        <v>18</v>
      </c>
      <c r="AR114" s="63">
        <v>28</v>
      </c>
      <c r="AS114" s="62">
        <v>13</v>
      </c>
      <c r="AT114" s="62">
        <v>40</v>
      </c>
      <c r="AU114" s="62">
        <v>4</v>
      </c>
      <c r="AV114" s="62">
        <v>4</v>
      </c>
      <c r="AW114" s="62">
        <v>4</v>
      </c>
      <c r="AX114" s="62">
        <v>0</v>
      </c>
      <c r="AY114" s="62">
        <v>17</v>
      </c>
      <c r="AZ114" s="63">
        <v>15</v>
      </c>
      <c r="BA114" s="62">
        <v>48</v>
      </c>
      <c r="BB114" s="62">
        <v>2</v>
      </c>
      <c r="BC114" s="62" t="e">
        <f>VLOOKUP($B$9,#REF!,2,TRUE)</f>
        <v>#REF!</v>
      </c>
      <c r="BD114" s="62" t="s">
        <v>31</v>
      </c>
      <c r="BE114" s="62"/>
      <c r="BG114" s="48"/>
      <c r="BH114" s="48"/>
      <c r="BI114" s="48"/>
      <c r="BJ114" s="48">
        <v>8</v>
      </c>
      <c r="BK114" s="73">
        <v>8</v>
      </c>
      <c r="BL114" s="48"/>
    </row>
    <row r="115" spans="1:64" s="45" customFormat="1" ht="15.75">
      <c r="A115" s="95">
        <v>13</v>
      </c>
      <c r="B115" s="96" t="s">
        <v>230</v>
      </c>
      <c r="C115" s="97" t="s">
        <v>231</v>
      </c>
      <c r="D115" s="97" t="s">
        <v>232</v>
      </c>
      <c r="E115" s="97" t="s">
        <v>233</v>
      </c>
      <c r="F115" s="97" t="s">
        <v>234</v>
      </c>
      <c r="G115" s="96" t="s">
        <v>235</v>
      </c>
      <c r="H115" s="96" t="s">
        <v>123</v>
      </c>
      <c r="I115" s="96" t="s">
        <v>151</v>
      </c>
      <c r="J115" s="96" t="s">
        <v>236</v>
      </c>
      <c r="K115" s="98" t="s">
        <v>237</v>
      </c>
      <c r="L115" s="97">
        <v>744</v>
      </c>
      <c r="M115" s="96" t="s">
        <v>154</v>
      </c>
      <c r="N115" s="96"/>
      <c r="O115" s="97" t="s">
        <v>128</v>
      </c>
      <c r="P115" s="97" t="s">
        <v>31</v>
      </c>
      <c r="Q115" s="97" t="s">
        <v>31</v>
      </c>
      <c r="R115" s="97" t="s">
        <v>31</v>
      </c>
      <c r="S115" s="97" t="s">
        <v>238</v>
      </c>
      <c r="T115" s="97">
        <v>3</v>
      </c>
      <c r="U115" s="97">
        <v>10</v>
      </c>
      <c r="V115" s="97">
        <v>0</v>
      </c>
      <c r="W115" s="97">
        <v>2</v>
      </c>
      <c r="X115" s="97" t="s">
        <v>168</v>
      </c>
      <c r="Y115" s="97" t="s">
        <v>168</v>
      </c>
      <c r="Z115" s="97" t="e">
        <v>#N/A</v>
      </c>
      <c r="AA115" s="97" t="e">
        <v>#N/A</v>
      </c>
      <c r="AB115" s="97"/>
      <c r="AC115" s="97" t="s">
        <v>157</v>
      </c>
      <c r="AD115" s="97" t="s">
        <v>132</v>
      </c>
      <c r="AE115" s="97" t="s">
        <v>133</v>
      </c>
      <c r="AF115" s="97" t="s">
        <v>134</v>
      </c>
      <c r="AG115" s="97" t="s">
        <v>31</v>
      </c>
      <c r="AH115" s="97">
        <v>941</v>
      </c>
      <c r="AI115" s="97">
        <v>700</v>
      </c>
      <c r="AJ115" s="97">
        <v>900</v>
      </c>
      <c r="AK115" s="97">
        <v>20</v>
      </c>
      <c r="AL115" s="97">
        <v>0</v>
      </c>
      <c r="AM115" s="97">
        <v>100</v>
      </c>
      <c r="AN115" s="97">
        <v>15</v>
      </c>
      <c r="AO115" s="97">
        <v>12</v>
      </c>
      <c r="AP115" s="99">
        <v>0</v>
      </c>
      <c r="AQ115" s="97">
        <v>18</v>
      </c>
      <c r="AR115" s="63">
        <v>28</v>
      </c>
      <c r="AS115" s="62">
        <v>13</v>
      </c>
      <c r="AT115" s="62">
        <v>40</v>
      </c>
      <c r="AU115" s="62">
        <v>4</v>
      </c>
      <c r="AV115" s="62">
        <v>4</v>
      </c>
      <c r="AW115" s="62">
        <v>4</v>
      </c>
      <c r="AX115" s="58">
        <v>0</v>
      </c>
      <c r="AY115" s="62">
        <v>15</v>
      </c>
      <c r="AZ115" s="63">
        <v>15</v>
      </c>
      <c r="BA115" s="62">
        <v>48</v>
      </c>
      <c r="BB115" s="62">
        <v>2</v>
      </c>
      <c r="BC115" s="62" t="e">
        <f>VLOOKUP($B$9,#REF!,2,TRUE)</f>
        <v>#REF!</v>
      </c>
      <c r="BD115" s="62" t="s">
        <v>31</v>
      </c>
      <c r="BE115" s="62"/>
      <c r="BG115" s="48"/>
      <c r="BH115" s="48"/>
      <c r="BI115" s="48"/>
      <c r="BJ115" s="48">
        <v>8</v>
      </c>
      <c r="BK115" s="73">
        <v>8</v>
      </c>
      <c r="BL115" s="48"/>
    </row>
    <row r="116" spans="1:64" s="45" customFormat="1" ht="15.75">
      <c r="A116" s="95">
        <v>19</v>
      </c>
      <c r="B116" s="96" t="s">
        <v>239</v>
      </c>
      <c r="C116" s="97" t="s">
        <v>240</v>
      </c>
      <c r="D116" s="97" t="s">
        <v>241</v>
      </c>
      <c r="E116" s="97" t="s">
        <v>242</v>
      </c>
      <c r="F116" s="97" t="s">
        <v>243</v>
      </c>
      <c r="G116" s="96" t="s">
        <v>244</v>
      </c>
      <c r="H116" s="96" t="s">
        <v>123</v>
      </c>
      <c r="I116" s="96" t="s">
        <v>124</v>
      </c>
      <c r="J116" s="96" t="s">
        <v>245</v>
      </c>
      <c r="K116" s="98" t="s">
        <v>246</v>
      </c>
      <c r="L116" s="97">
        <v>776</v>
      </c>
      <c r="M116" s="96" t="s">
        <v>154</v>
      </c>
      <c r="N116" s="96"/>
      <c r="O116" s="97" t="s">
        <v>128</v>
      </c>
      <c r="P116" s="97" t="s">
        <v>31</v>
      </c>
      <c r="Q116" s="97" t="s">
        <v>31</v>
      </c>
      <c r="R116" s="97" t="s">
        <v>31</v>
      </c>
      <c r="S116" s="97" t="s">
        <v>177</v>
      </c>
      <c r="T116" s="97">
        <v>3</v>
      </c>
      <c r="U116" s="97">
        <v>10</v>
      </c>
      <c r="V116" s="97">
        <v>0</v>
      </c>
      <c r="W116" s="97">
        <v>0</v>
      </c>
      <c r="X116" s="97" t="e">
        <v>#N/A</v>
      </c>
      <c r="Y116" s="97" t="e">
        <v>#N/A</v>
      </c>
      <c r="Z116" s="97" t="e">
        <v>#N/A</v>
      </c>
      <c r="AA116" s="97" t="e">
        <v>#N/A</v>
      </c>
      <c r="AB116" s="97"/>
      <c r="AC116" s="97" t="s">
        <v>157</v>
      </c>
      <c r="AD116" s="97" t="s">
        <v>132</v>
      </c>
      <c r="AE116" s="97" t="s">
        <v>133</v>
      </c>
      <c r="AF116" s="97" t="s">
        <v>134</v>
      </c>
      <c r="AG116" s="97" t="s">
        <v>31</v>
      </c>
      <c r="AH116" s="97">
        <v>941</v>
      </c>
      <c r="AI116" s="97">
        <v>700</v>
      </c>
      <c r="AJ116" s="97">
        <v>900</v>
      </c>
      <c r="AK116" s="97">
        <v>20</v>
      </c>
      <c r="AL116" s="97">
        <v>0</v>
      </c>
      <c r="AM116" s="97">
        <v>100</v>
      </c>
      <c r="AN116" s="97">
        <v>15</v>
      </c>
      <c r="AO116" s="97">
        <v>12</v>
      </c>
      <c r="AP116" s="97">
        <v>0</v>
      </c>
      <c r="AQ116" s="97">
        <v>18</v>
      </c>
      <c r="AR116" s="61">
        <v>28</v>
      </c>
      <c r="AS116" s="60">
        <v>13</v>
      </c>
      <c r="AT116" s="60">
        <v>40</v>
      </c>
      <c r="AU116" s="60">
        <v>4</v>
      </c>
      <c r="AV116" s="60">
        <v>4</v>
      </c>
      <c r="AW116" s="60">
        <v>4</v>
      </c>
      <c r="AX116" s="60">
        <v>0</v>
      </c>
      <c r="AY116" s="60">
        <v>15</v>
      </c>
      <c r="AZ116" s="61">
        <v>15</v>
      </c>
      <c r="BA116" s="60">
        <v>48</v>
      </c>
      <c r="BB116" s="60">
        <v>2</v>
      </c>
      <c r="BC116" s="60" t="e">
        <f>VLOOKUP($B$9,#REF!,2,TRUE)</f>
        <v>#REF!</v>
      </c>
      <c r="BD116" s="60" t="s">
        <v>31</v>
      </c>
      <c r="BE116" s="60"/>
      <c r="BG116" s="48"/>
      <c r="BH116" s="48"/>
      <c r="BI116" s="48"/>
      <c r="BJ116" s="48">
        <v>8</v>
      </c>
      <c r="BK116" s="73">
        <v>8</v>
      </c>
      <c r="BL116" s="48"/>
    </row>
    <row r="117" spans="1:64" s="45" customFormat="1" ht="15.75">
      <c r="A117" s="95">
        <v>81</v>
      </c>
      <c r="B117" s="96" t="s">
        <v>269</v>
      </c>
      <c r="C117" s="97" t="s">
        <v>270</v>
      </c>
      <c r="D117" s="97" t="s">
        <v>271</v>
      </c>
      <c r="E117" s="97" t="s">
        <v>272</v>
      </c>
      <c r="F117" s="97" t="s">
        <v>163</v>
      </c>
      <c r="G117" s="96" t="s">
        <v>273</v>
      </c>
      <c r="H117" s="96" t="s">
        <v>123</v>
      </c>
      <c r="I117" s="96" t="s">
        <v>151</v>
      </c>
      <c r="J117" s="96" t="s">
        <v>274</v>
      </c>
      <c r="K117" s="98" t="s">
        <v>275</v>
      </c>
      <c r="L117" s="97">
        <v>588</v>
      </c>
      <c r="M117" s="96" t="s">
        <v>154</v>
      </c>
      <c r="N117" s="96"/>
      <c r="O117" s="97" t="s">
        <v>128</v>
      </c>
      <c r="P117" s="97" t="s">
        <v>31</v>
      </c>
      <c r="Q117" s="97" t="s">
        <v>31</v>
      </c>
      <c r="R117" s="97" t="s">
        <v>31</v>
      </c>
      <c r="S117" s="97" t="s">
        <v>238</v>
      </c>
      <c r="T117" s="97">
        <v>3</v>
      </c>
      <c r="U117" s="97">
        <v>10</v>
      </c>
      <c r="V117" s="97">
        <v>0</v>
      </c>
      <c r="W117" s="97">
        <v>0</v>
      </c>
      <c r="X117" s="97" t="e">
        <v>#N/A</v>
      </c>
      <c r="Y117" s="97" t="e">
        <v>#N/A</v>
      </c>
      <c r="Z117" s="97" t="e">
        <v>#N/A</v>
      </c>
      <c r="AA117" s="97" t="e">
        <v>#N/A</v>
      </c>
      <c r="AB117" s="97" t="s">
        <v>28</v>
      </c>
      <c r="AC117" s="97" t="s">
        <v>157</v>
      </c>
      <c r="AD117" s="97" t="s">
        <v>132</v>
      </c>
      <c r="AE117" s="97" t="s">
        <v>169</v>
      </c>
      <c r="AF117" s="97" t="s">
        <v>134</v>
      </c>
      <c r="AG117" s="97" t="s">
        <v>31</v>
      </c>
      <c r="AH117" s="97">
        <v>941</v>
      </c>
      <c r="AI117" s="97">
        <v>700</v>
      </c>
      <c r="AJ117" s="97">
        <v>900</v>
      </c>
      <c r="AK117" s="97">
        <v>20</v>
      </c>
      <c r="AL117" s="97">
        <v>0</v>
      </c>
      <c r="AM117" s="97">
        <v>100</v>
      </c>
      <c r="AN117" s="97">
        <v>15</v>
      </c>
      <c r="AO117" s="97">
        <v>12</v>
      </c>
      <c r="AP117" s="99">
        <v>0</v>
      </c>
      <c r="AQ117" s="97">
        <v>18</v>
      </c>
      <c r="AR117" s="61">
        <v>28</v>
      </c>
      <c r="AS117" s="60">
        <v>13</v>
      </c>
      <c r="AT117" s="60">
        <v>40</v>
      </c>
      <c r="AU117" s="60">
        <v>4</v>
      </c>
      <c r="AV117" s="60">
        <v>4</v>
      </c>
      <c r="AW117" s="60">
        <v>4</v>
      </c>
      <c r="AX117" s="64">
        <v>0</v>
      </c>
      <c r="AY117" s="60">
        <v>15</v>
      </c>
      <c r="AZ117" s="61">
        <v>15</v>
      </c>
      <c r="BA117" s="60">
        <v>48</v>
      </c>
      <c r="BB117" s="60">
        <v>2</v>
      </c>
      <c r="BC117" s="60" t="e">
        <f>VLOOKUP($B$9,#REF!,2,TRUE)</f>
        <v>#REF!</v>
      </c>
      <c r="BD117" s="60" t="s">
        <v>31</v>
      </c>
      <c r="BE117" s="60"/>
      <c r="BG117" s="48"/>
      <c r="BH117" s="48"/>
      <c r="BI117" s="48"/>
      <c r="BJ117" s="48">
        <v>8</v>
      </c>
      <c r="BK117" s="73">
        <v>8</v>
      </c>
      <c r="BL117" s="48"/>
    </row>
    <row r="118" spans="1:64" s="45" customFormat="1" ht="15.75">
      <c r="A118" s="95">
        <v>17</v>
      </c>
      <c r="B118" s="96" t="s">
        <v>276</v>
      </c>
      <c r="C118" s="97" t="s">
        <v>277</v>
      </c>
      <c r="D118" s="97" t="s">
        <v>278</v>
      </c>
      <c r="E118" s="97" t="s">
        <v>279</v>
      </c>
      <c r="F118" s="97" t="s">
        <v>280</v>
      </c>
      <c r="G118" s="96" t="s">
        <v>281</v>
      </c>
      <c r="H118" s="96" t="s">
        <v>123</v>
      </c>
      <c r="I118" s="96" t="s">
        <v>151</v>
      </c>
      <c r="J118" s="96" t="s">
        <v>282</v>
      </c>
      <c r="K118" s="98" t="s">
        <v>283</v>
      </c>
      <c r="L118" s="97">
        <v>719</v>
      </c>
      <c r="M118" s="96" t="s">
        <v>154</v>
      </c>
      <c r="N118" s="96"/>
      <c r="O118" s="97" t="s">
        <v>284</v>
      </c>
      <c r="P118" s="97" t="s">
        <v>31</v>
      </c>
      <c r="Q118" s="97" t="s">
        <v>31</v>
      </c>
      <c r="R118" s="97" t="s">
        <v>31</v>
      </c>
      <c r="S118" s="97" t="s">
        <v>177</v>
      </c>
      <c r="T118" s="97">
        <v>3</v>
      </c>
      <c r="U118" s="97">
        <v>10</v>
      </c>
      <c r="V118" s="97">
        <v>0</v>
      </c>
      <c r="W118" s="97">
        <v>2</v>
      </c>
      <c r="X118" s="97" t="s">
        <v>168</v>
      </c>
      <c r="Y118" s="97" t="s">
        <v>168</v>
      </c>
      <c r="Z118" s="97" t="e">
        <v>#N/A</v>
      </c>
      <c r="AA118" s="97" t="e">
        <v>#N/A</v>
      </c>
      <c r="AB118" s="97"/>
      <c r="AC118" s="97" t="s">
        <v>157</v>
      </c>
      <c r="AD118" s="97" t="s">
        <v>132</v>
      </c>
      <c r="AE118" s="97" t="s">
        <v>169</v>
      </c>
      <c r="AF118" s="97" t="s">
        <v>134</v>
      </c>
      <c r="AG118" s="97" t="s">
        <v>31</v>
      </c>
      <c r="AH118" s="97">
        <v>941</v>
      </c>
      <c r="AI118" s="97">
        <v>700</v>
      </c>
      <c r="AJ118" s="97">
        <v>900</v>
      </c>
      <c r="AK118" s="97">
        <v>20</v>
      </c>
      <c r="AL118" s="97">
        <v>0</v>
      </c>
      <c r="AM118" s="97">
        <v>100</v>
      </c>
      <c r="AN118" s="97">
        <v>15</v>
      </c>
      <c r="AO118" s="97">
        <v>12</v>
      </c>
      <c r="AP118" s="97">
        <v>0</v>
      </c>
      <c r="AQ118" s="97">
        <v>18</v>
      </c>
      <c r="AR118" s="63">
        <v>28</v>
      </c>
      <c r="AS118" s="62">
        <v>13</v>
      </c>
      <c r="AT118" s="62">
        <v>40</v>
      </c>
      <c r="AU118" s="62">
        <v>4</v>
      </c>
      <c r="AV118" s="62">
        <v>4</v>
      </c>
      <c r="AW118" s="62">
        <v>4</v>
      </c>
      <c r="AX118" s="62">
        <v>0</v>
      </c>
      <c r="AY118" s="62">
        <v>15</v>
      </c>
      <c r="AZ118" s="63">
        <v>15</v>
      </c>
      <c r="BA118" s="62">
        <v>48</v>
      </c>
      <c r="BB118" s="62">
        <v>2</v>
      </c>
      <c r="BC118" s="62" t="e">
        <f>VLOOKUP($B$9,#REF!,2,TRUE)</f>
        <v>#REF!</v>
      </c>
      <c r="BD118" s="62" t="s">
        <v>31</v>
      </c>
      <c r="BE118" s="62"/>
      <c r="BG118" s="48"/>
      <c r="BH118" s="48"/>
      <c r="BI118" s="48"/>
      <c r="BJ118" s="48">
        <v>8</v>
      </c>
      <c r="BK118" s="73">
        <v>8</v>
      </c>
      <c r="BL118" s="49"/>
    </row>
    <row r="119" spans="1:64" s="45" customFormat="1" ht="15.75">
      <c r="A119" s="95">
        <v>9</v>
      </c>
      <c r="B119" s="96" t="s">
        <v>301</v>
      </c>
      <c r="C119" s="97" t="s">
        <v>302</v>
      </c>
      <c r="D119" s="97" t="s">
        <v>303</v>
      </c>
      <c r="E119" s="97" t="s">
        <v>304</v>
      </c>
      <c r="F119" s="97" t="s">
        <v>122</v>
      </c>
      <c r="G119" s="96" t="s">
        <v>305</v>
      </c>
      <c r="H119" s="96" t="s">
        <v>123</v>
      </c>
      <c r="I119" s="96" t="s">
        <v>124</v>
      </c>
      <c r="J119" s="96" t="s">
        <v>306</v>
      </c>
      <c r="K119" s="98" t="s">
        <v>307</v>
      </c>
      <c r="L119" s="97">
        <v>722</v>
      </c>
      <c r="M119" s="96" t="s">
        <v>154</v>
      </c>
      <c r="N119" s="96"/>
      <c r="O119" s="97" t="s">
        <v>128</v>
      </c>
      <c r="P119" s="97" t="s">
        <v>31</v>
      </c>
      <c r="Q119" s="97" t="s">
        <v>31</v>
      </c>
      <c r="R119" s="97" t="s">
        <v>31</v>
      </c>
      <c r="S119" s="97" t="s">
        <v>238</v>
      </c>
      <c r="T119" s="97">
        <v>3</v>
      </c>
      <c r="U119" s="97">
        <v>10</v>
      </c>
      <c r="V119" s="97">
        <v>0</v>
      </c>
      <c r="W119" s="97">
        <v>1</v>
      </c>
      <c r="X119" s="97" t="s">
        <v>168</v>
      </c>
      <c r="Y119" s="97" t="e">
        <v>#N/A</v>
      </c>
      <c r="Z119" s="97" t="e">
        <v>#N/A</v>
      </c>
      <c r="AA119" s="97" t="e">
        <v>#N/A</v>
      </c>
      <c r="AB119" s="97"/>
      <c r="AC119" s="97" t="s">
        <v>157</v>
      </c>
      <c r="AD119" s="97" t="s">
        <v>132</v>
      </c>
      <c r="AE119" s="97" t="s">
        <v>133</v>
      </c>
      <c r="AF119" s="97" t="s">
        <v>134</v>
      </c>
      <c r="AG119" s="97" t="s">
        <v>31</v>
      </c>
      <c r="AH119" s="97">
        <v>941</v>
      </c>
      <c r="AI119" s="97">
        <v>700</v>
      </c>
      <c r="AJ119" s="97">
        <v>900</v>
      </c>
      <c r="AK119" s="97">
        <v>20</v>
      </c>
      <c r="AL119" s="97">
        <v>0</v>
      </c>
      <c r="AM119" s="97">
        <v>100</v>
      </c>
      <c r="AN119" s="97">
        <v>15</v>
      </c>
      <c r="AO119" s="97">
        <v>12</v>
      </c>
      <c r="AP119" s="99">
        <v>0</v>
      </c>
      <c r="AQ119" s="97">
        <v>18</v>
      </c>
      <c r="AR119" s="61">
        <v>28</v>
      </c>
      <c r="AS119" s="60">
        <v>13</v>
      </c>
      <c r="AT119" s="60">
        <v>40</v>
      </c>
      <c r="AU119" s="60">
        <v>4</v>
      </c>
      <c r="AV119" s="60">
        <v>4</v>
      </c>
      <c r="AW119" s="60">
        <v>4</v>
      </c>
      <c r="AX119" s="64">
        <v>0</v>
      </c>
      <c r="AY119" s="60">
        <v>15</v>
      </c>
      <c r="AZ119" s="61">
        <v>15</v>
      </c>
      <c r="BA119" s="60">
        <v>48</v>
      </c>
      <c r="BB119" s="60">
        <v>2</v>
      </c>
      <c r="BC119" s="60" t="e">
        <f>VLOOKUP($B$9,#REF!,2,TRUE)</f>
        <v>#REF!</v>
      </c>
      <c r="BD119" s="60" t="s">
        <v>31</v>
      </c>
      <c r="BE119" s="60"/>
      <c r="BG119" s="48"/>
      <c r="BH119" s="48"/>
      <c r="BI119" s="48"/>
      <c r="BJ119" s="48">
        <v>8</v>
      </c>
      <c r="BK119" s="73">
        <v>8</v>
      </c>
      <c r="BL119" s="48"/>
    </row>
    <row r="120" spans="1:64" s="45" customFormat="1" ht="15.75">
      <c r="A120" s="95">
        <v>73</v>
      </c>
      <c r="B120" s="96" t="s">
        <v>308</v>
      </c>
      <c r="C120" s="97" t="s">
        <v>309</v>
      </c>
      <c r="D120" s="97" t="s">
        <v>310</v>
      </c>
      <c r="E120" s="97" t="s">
        <v>311</v>
      </c>
      <c r="F120" s="97" t="s">
        <v>163</v>
      </c>
      <c r="G120" s="96" t="s">
        <v>312</v>
      </c>
      <c r="H120" s="96" t="s">
        <v>123</v>
      </c>
      <c r="I120" s="96" t="s">
        <v>151</v>
      </c>
      <c r="J120" s="96" t="s">
        <v>313</v>
      </c>
      <c r="K120" s="98" t="s">
        <v>166</v>
      </c>
      <c r="L120" s="97">
        <v>714</v>
      </c>
      <c r="M120" s="96" t="s">
        <v>154</v>
      </c>
      <c r="N120" s="96"/>
      <c r="O120" s="97" t="s">
        <v>128</v>
      </c>
      <c r="P120" s="97" t="s">
        <v>31</v>
      </c>
      <c r="Q120" s="97" t="s">
        <v>31</v>
      </c>
      <c r="R120" s="97" t="s">
        <v>31</v>
      </c>
      <c r="S120" s="97" t="s">
        <v>177</v>
      </c>
      <c r="T120" s="97">
        <v>3</v>
      </c>
      <c r="U120" s="97">
        <v>10</v>
      </c>
      <c r="V120" s="97">
        <v>0</v>
      </c>
      <c r="W120" s="97">
        <v>1</v>
      </c>
      <c r="X120" s="97" t="s">
        <v>168</v>
      </c>
      <c r="Y120" s="97" t="e">
        <v>#N/A</v>
      </c>
      <c r="Z120" s="97" t="e">
        <v>#N/A</v>
      </c>
      <c r="AA120" s="97" t="e">
        <v>#N/A</v>
      </c>
      <c r="AB120" s="97"/>
      <c r="AC120" s="97" t="s">
        <v>157</v>
      </c>
      <c r="AD120" s="97" t="s">
        <v>132</v>
      </c>
      <c r="AE120" s="97" t="s">
        <v>169</v>
      </c>
      <c r="AF120" s="97" t="s">
        <v>134</v>
      </c>
      <c r="AG120" s="97" t="s">
        <v>31</v>
      </c>
      <c r="AH120" s="97">
        <v>941</v>
      </c>
      <c r="AI120" s="97">
        <v>700</v>
      </c>
      <c r="AJ120" s="97">
        <v>900</v>
      </c>
      <c r="AK120" s="97">
        <v>20</v>
      </c>
      <c r="AL120" s="97">
        <v>0</v>
      </c>
      <c r="AM120" s="97">
        <v>100</v>
      </c>
      <c r="AN120" s="97">
        <v>15</v>
      </c>
      <c r="AO120" s="97">
        <v>12</v>
      </c>
      <c r="AP120" s="97">
        <v>0</v>
      </c>
      <c r="AQ120" s="97">
        <v>18</v>
      </c>
      <c r="AR120" s="63">
        <v>28</v>
      </c>
      <c r="AS120" s="62">
        <v>13</v>
      </c>
      <c r="AT120" s="62">
        <v>40</v>
      </c>
      <c r="AU120" s="62">
        <v>4</v>
      </c>
      <c r="AV120" s="62">
        <v>4</v>
      </c>
      <c r="AW120" s="62">
        <v>4</v>
      </c>
      <c r="AX120" s="62">
        <v>0</v>
      </c>
      <c r="AY120" s="62">
        <v>15</v>
      </c>
      <c r="AZ120" s="63">
        <v>15</v>
      </c>
      <c r="BA120" s="62">
        <v>48</v>
      </c>
      <c r="BB120" s="62">
        <v>2</v>
      </c>
      <c r="BC120" s="62" t="e">
        <f>VLOOKUP($B$9,#REF!,2,TRUE)</f>
        <v>#REF!</v>
      </c>
      <c r="BD120" s="62" t="s">
        <v>31</v>
      </c>
      <c r="BE120" s="62"/>
      <c r="BG120" s="48"/>
      <c r="BH120" s="48"/>
      <c r="BI120" s="48"/>
      <c r="BJ120" s="48">
        <v>8</v>
      </c>
      <c r="BK120" s="73">
        <v>8</v>
      </c>
      <c r="BL120" s="48"/>
    </row>
    <row r="121" spans="1:64" s="45" customFormat="1" ht="15.75">
      <c r="A121" s="95">
        <v>8</v>
      </c>
      <c r="B121" s="96" t="s">
        <v>314</v>
      </c>
      <c r="C121" s="97" t="s">
        <v>315</v>
      </c>
      <c r="D121" s="97" t="s">
        <v>316</v>
      </c>
      <c r="E121" s="97" t="s">
        <v>317</v>
      </c>
      <c r="F121" s="97" t="s">
        <v>217</v>
      </c>
      <c r="G121" s="96" t="s">
        <v>318</v>
      </c>
      <c r="H121" s="96" t="s">
        <v>123</v>
      </c>
      <c r="I121" s="96" t="s">
        <v>124</v>
      </c>
      <c r="J121" s="96" t="s">
        <v>319</v>
      </c>
      <c r="K121" s="98" t="s">
        <v>320</v>
      </c>
      <c r="L121" s="97">
        <v>727</v>
      </c>
      <c r="M121" s="96" t="s">
        <v>154</v>
      </c>
      <c r="N121" s="96"/>
      <c r="O121" s="97" t="s">
        <v>128</v>
      </c>
      <c r="P121" s="97" t="s">
        <v>31</v>
      </c>
      <c r="Q121" s="97" t="s">
        <v>31</v>
      </c>
      <c r="R121" s="97" t="s">
        <v>31</v>
      </c>
      <c r="S121" s="97" t="s">
        <v>177</v>
      </c>
      <c r="T121" s="97">
        <v>3</v>
      </c>
      <c r="U121" s="97">
        <v>10</v>
      </c>
      <c r="V121" s="97">
        <v>0</v>
      </c>
      <c r="W121" s="97">
        <v>2</v>
      </c>
      <c r="X121" s="97" t="s">
        <v>168</v>
      </c>
      <c r="Y121" s="97" t="s">
        <v>168</v>
      </c>
      <c r="Z121" s="97" t="e">
        <v>#N/A</v>
      </c>
      <c r="AA121" s="97" t="e">
        <v>#N/A</v>
      </c>
      <c r="AB121" s="97"/>
      <c r="AC121" s="97" t="s">
        <v>157</v>
      </c>
      <c r="AD121" s="97" t="s">
        <v>132</v>
      </c>
      <c r="AE121" s="97" t="s">
        <v>169</v>
      </c>
      <c r="AF121" s="97" t="s">
        <v>134</v>
      </c>
      <c r="AG121" s="97" t="s">
        <v>31</v>
      </c>
      <c r="AH121" s="97">
        <v>941</v>
      </c>
      <c r="AI121" s="97">
        <v>700</v>
      </c>
      <c r="AJ121" s="97">
        <v>900</v>
      </c>
      <c r="AK121" s="97">
        <v>20</v>
      </c>
      <c r="AL121" s="97">
        <v>0</v>
      </c>
      <c r="AM121" s="97">
        <v>100</v>
      </c>
      <c r="AN121" s="97">
        <v>15</v>
      </c>
      <c r="AO121" s="97">
        <v>12</v>
      </c>
      <c r="AP121" s="99">
        <v>0</v>
      </c>
      <c r="AQ121" s="97">
        <v>18</v>
      </c>
      <c r="AR121" s="61">
        <v>28</v>
      </c>
      <c r="AS121" s="60">
        <v>13</v>
      </c>
      <c r="AT121" s="60">
        <v>40</v>
      </c>
      <c r="AU121" s="60">
        <v>4</v>
      </c>
      <c r="AV121" s="60">
        <v>4</v>
      </c>
      <c r="AW121" s="60">
        <v>4</v>
      </c>
      <c r="AX121" s="64">
        <v>0</v>
      </c>
      <c r="AY121" s="60">
        <v>17</v>
      </c>
      <c r="AZ121" s="61">
        <v>15</v>
      </c>
      <c r="BA121" s="60">
        <v>48</v>
      </c>
      <c r="BB121" s="60">
        <v>2</v>
      </c>
      <c r="BC121" s="60" t="e">
        <f>VLOOKUP($B$9,#REF!,2,TRUE)</f>
        <v>#REF!</v>
      </c>
      <c r="BD121" s="60" t="s">
        <v>31</v>
      </c>
      <c r="BE121" s="60"/>
      <c r="BG121" s="48"/>
      <c r="BH121" s="48"/>
      <c r="BI121" s="48"/>
      <c r="BJ121" s="48">
        <v>8</v>
      </c>
      <c r="BK121" s="73">
        <v>8</v>
      </c>
      <c r="BL121" s="48"/>
    </row>
    <row r="122" spans="1:64" s="45" customFormat="1" ht="15.75">
      <c r="A122" s="95">
        <v>7</v>
      </c>
      <c r="B122" s="96" t="s">
        <v>348</v>
      </c>
      <c r="C122" s="97" t="s">
        <v>349</v>
      </c>
      <c r="D122" s="97" t="s">
        <v>350</v>
      </c>
      <c r="E122" s="97" t="s">
        <v>351</v>
      </c>
      <c r="F122" s="97" t="s">
        <v>352</v>
      </c>
      <c r="G122" s="96" t="s">
        <v>353</v>
      </c>
      <c r="H122" s="96" t="s">
        <v>123</v>
      </c>
      <c r="I122" s="96" t="s">
        <v>151</v>
      </c>
      <c r="J122" s="96" t="s">
        <v>354</v>
      </c>
      <c r="K122" s="98" t="s">
        <v>355</v>
      </c>
      <c r="L122" s="97">
        <v>509</v>
      </c>
      <c r="M122" s="96" t="s">
        <v>154</v>
      </c>
      <c r="N122" s="96"/>
      <c r="O122" s="97" t="s">
        <v>128</v>
      </c>
      <c r="P122" s="97" t="s">
        <v>31</v>
      </c>
      <c r="Q122" s="97" t="s">
        <v>31</v>
      </c>
      <c r="R122" s="97" t="s">
        <v>31</v>
      </c>
      <c r="S122" s="97" t="s">
        <v>167</v>
      </c>
      <c r="T122" s="97">
        <v>2</v>
      </c>
      <c r="U122" s="97">
        <v>10</v>
      </c>
      <c r="V122" s="97">
        <v>0</v>
      </c>
      <c r="W122" s="97">
        <v>2</v>
      </c>
      <c r="X122" s="97" t="s">
        <v>168</v>
      </c>
      <c r="Y122" s="97" t="s">
        <v>168</v>
      </c>
      <c r="Z122" s="97" t="e">
        <v>#N/A</v>
      </c>
      <c r="AA122" s="97" t="e">
        <v>#N/A</v>
      </c>
      <c r="AB122" s="97"/>
      <c r="AC122" s="97" t="s">
        <v>157</v>
      </c>
      <c r="AD122" s="97" t="s">
        <v>132</v>
      </c>
      <c r="AE122" s="97" t="s">
        <v>133</v>
      </c>
      <c r="AF122" s="97" t="s">
        <v>134</v>
      </c>
      <c r="AG122" s="97" t="s">
        <v>31</v>
      </c>
      <c r="AH122" s="97">
        <v>894</v>
      </c>
      <c r="AI122" s="97">
        <v>700</v>
      </c>
      <c r="AJ122" s="97">
        <v>900</v>
      </c>
      <c r="AK122" s="97">
        <v>20</v>
      </c>
      <c r="AL122" s="97">
        <v>0</v>
      </c>
      <c r="AM122" s="97">
        <v>100</v>
      </c>
      <c r="AN122" s="97">
        <v>10</v>
      </c>
      <c r="AO122" s="97">
        <v>8</v>
      </c>
      <c r="AP122" s="97">
        <v>0</v>
      </c>
      <c r="AQ122" s="97">
        <v>18</v>
      </c>
      <c r="AR122" s="63">
        <v>27</v>
      </c>
      <c r="AS122" s="62">
        <v>12</v>
      </c>
      <c r="AT122" s="62">
        <v>40</v>
      </c>
      <c r="AU122" s="62">
        <v>4</v>
      </c>
      <c r="AV122" s="62">
        <v>4</v>
      </c>
      <c r="AW122" s="62">
        <v>4</v>
      </c>
      <c r="AX122" s="62">
        <v>0</v>
      </c>
      <c r="AY122" s="62">
        <v>15</v>
      </c>
      <c r="AZ122" s="63">
        <v>15</v>
      </c>
      <c r="BA122" s="62">
        <v>48</v>
      </c>
      <c r="BB122" s="62">
        <v>2</v>
      </c>
      <c r="BC122" s="62" t="e">
        <f>VLOOKUP($B$9,#REF!,2,TRUE)</f>
        <v>#REF!</v>
      </c>
      <c r="BD122" s="62" t="s">
        <v>31</v>
      </c>
      <c r="BE122" s="62"/>
      <c r="BG122" s="48"/>
      <c r="BH122" s="48"/>
      <c r="BI122" s="48"/>
      <c r="BJ122" s="48">
        <v>8</v>
      </c>
      <c r="BK122" s="73">
        <v>8</v>
      </c>
      <c r="BL122" s="48"/>
    </row>
    <row r="123" spans="1:64" s="45" customFormat="1" ht="15.75">
      <c r="A123" s="95">
        <v>53</v>
      </c>
      <c r="B123" s="96" t="s">
        <v>376</v>
      </c>
      <c r="C123" s="97" t="s">
        <v>377</v>
      </c>
      <c r="D123" s="97" t="s">
        <v>120</v>
      </c>
      <c r="E123" s="97" t="s">
        <v>378</v>
      </c>
      <c r="F123" s="97" t="s">
        <v>379</v>
      </c>
      <c r="G123" s="96" t="s">
        <v>380</v>
      </c>
      <c r="H123" s="96" t="s">
        <v>123</v>
      </c>
      <c r="I123" s="96" t="s">
        <v>151</v>
      </c>
      <c r="J123" s="96" t="s">
        <v>381</v>
      </c>
      <c r="K123" s="98" t="s">
        <v>382</v>
      </c>
      <c r="L123" s="97">
        <v>659</v>
      </c>
      <c r="M123" s="96" t="s">
        <v>154</v>
      </c>
      <c r="N123" s="96"/>
      <c r="O123" s="97" t="s">
        <v>284</v>
      </c>
      <c r="P123" s="97" t="s">
        <v>31</v>
      </c>
      <c r="Q123" s="97" t="s">
        <v>31</v>
      </c>
      <c r="R123" s="97" t="s">
        <v>31</v>
      </c>
      <c r="S123" s="97" t="s">
        <v>177</v>
      </c>
      <c r="T123" s="97">
        <v>3</v>
      </c>
      <c r="U123" s="97">
        <v>10</v>
      </c>
      <c r="V123" s="97">
        <v>0</v>
      </c>
      <c r="W123" s="97">
        <v>1</v>
      </c>
      <c r="X123" s="97" t="s">
        <v>168</v>
      </c>
      <c r="Y123" s="97" t="e">
        <v>#N/A</v>
      </c>
      <c r="Z123" s="97" t="e">
        <v>#N/A</v>
      </c>
      <c r="AA123" s="97" t="e">
        <v>#N/A</v>
      </c>
      <c r="AB123" s="97"/>
      <c r="AC123" s="97" t="s">
        <v>157</v>
      </c>
      <c r="AD123" s="97" t="s">
        <v>132</v>
      </c>
      <c r="AE123" s="97" t="s">
        <v>169</v>
      </c>
      <c r="AF123" s="97" t="s">
        <v>134</v>
      </c>
      <c r="AG123" s="97" t="s">
        <v>31</v>
      </c>
      <c r="AH123" s="97">
        <v>941</v>
      </c>
      <c r="AI123" s="97">
        <v>700</v>
      </c>
      <c r="AJ123" s="97">
        <v>900</v>
      </c>
      <c r="AK123" s="97">
        <v>20</v>
      </c>
      <c r="AL123" s="97">
        <v>0</v>
      </c>
      <c r="AM123" s="97">
        <v>100</v>
      </c>
      <c r="AN123" s="97">
        <v>15</v>
      </c>
      <c r="AO123" s="97">
        <v>12</v>
      </c>
      <c r="AP123" s="99">
        <v>0</v>
      </c>
      <c r="AQ123" s="97">
        <v>18</v>
      </c>
      <c r="AR123" s="63">
        <v>28</v>
      </c>
      <c r="AS123" s="62">
        <v>13</v>
      </c>
      <c r="AT123" s="62">
        <v>40</v>
      </c>
      <c r="AU123" s="62">
        <v>4</v>
      </c>
      <c r="AV123" s="62">
        <v>4</v>
      </c>
      <c r="AW123" s="62">
        <v>4</v>
      </c>
      <c r="AX123" s="58">
        <v>0</v>
      </c>
      <c r="AY123" s="62">
        <v>15</v>
      </c>
      <c r="AZ123" s="63">
        <v>15</v>
      </c>
      <c r="BA123" s="62">
        <v>48</v>
      </c>
      <c r="BB123" s="62">
        <v>2</v>
      </c>
      <c r="BC123" s="62" t="e">
        <f>VLOOKUP($B$9,#REF!,2,TRUE)</f>
        <v>#REF!</v>
      </c>
      <c r="BD123" s="62" t="s">
        <v>31</v>
      </c>
      <c r="BE123" s="62"/>
      <c r="BG123" s="48"/>
      <c r="BH123" s="48"/>
      <c r="BI123" s="48"/>
      <c r="BJ123" s="48">
        <v>8</v>
      </c>
      <c r="BK123" s="73">
        <v>8</v>
      </c>
      <c r="BL123" s="48"/>
    </row>
    <row r="124" spans="1:64" s="45" customFormat="1" ht="15.75">
      <c r="A124" s="95">
        <v>63</v>
      </c>
      <c r="B124" s="96" t="s">
        <v>389</v>
      </c>
      <c r="C124" s="97" t="s">
        <v>390</v>
      </c>
      <c r="D124" s="97" t="s">
        <v>120</v>
      </c>
      <c r="E124" s="97" t="s">
        <v>391</v>
      </c>
      <c r="F124" s="97" t="s">
        <v>392</v>
      </c>
      <c r="G124" s="96" t="s">
        <v>393</v>
      </c>
      <c r="H124" s="96" t="s">
        <v>123</v>
      </c>
      <c r="I124" s="96" t="s">
        <v>124</v>
      </c>
      <c r="J124" s="96" t="s">
        <v>394</v>
      </c>
      <c r="K124" s="98" t="s">
        <v>126</v>
      </c>
      <c r="L124" s="97">
        <v>510</v>
      </c>
      <c r="M124" s="96" t="s">
        <v>154</v>
      </c>
      <c r="N124" s="96"/>
      <c r="O124" s="97" t="s">
        <v>128</v>
      </c>
      <c r="P124" s="97" t="s">
        <v>31</v>
      </c>
      <c r="Q124" s="97" t="s">
        <v>28</v>
      </c>
      <c r="R124" s="97" t="s">
        <v>31</v>
      </c>
      <c r="S124" s="97" t="s">
        <v>167</v>
      </c>
      <c r="T124" s="97">
        <v>2</v>
      </c>
      <c r="U124" s="97">
        <v>10</v>
      </c>
      <c r="V124" s="97">
        <v>0</v>
      </c>
      <c r="W124" s="97">
        <v>2</v>
      </c>
      <c r="X124" s="97" t="s">
        <v>168</v>
      </c>
      <c r="Y124" s="97" t="s">
        <v>168</v>
      </c>
      <c r="Z124" s="97" t="e">
        <v>#N/A</v>
      </c>
      <c r="AA124" s="97" t="e">
        <v>#N/A</v>
      </c>
      <c r="AB124" s="97"/>
      <c r="AC124" s="97" t="s">
        <v>157</v>
      </c>
      <c r="AD124" s="97" t="s">
        <v>132</v>
      </c>
      <c r="AE124" s="97" t="s">
        <v>133</v>
      </c>
      <c r="AF124" s="97" t="s">
        <v>134</v>
      </c>
      <c r="AG124" s="97" t="s">
        <v>31</v>
      </c>
      <c r="AH124" s="97">
        <v>894</v>
      </c>
      <c r="AI124" s="97">
        <v>700</v>
      </c>
      <c r="AJ124" s="97">
        <v>900</v>
      </c>
      <c r="AK124" s="97">
        <v>20</v>
      </c>
      <c r="AL124" s="97">
        <v>0</v>
      </c>
      <c r="AM124" s="97">
        <v>100</v>
      </c>
      <c r="AN124" s="97">
        <v>10</v>
      </c>
      <c r="AO124" s="97">
        <v>8</v>
      </c>
      <c r="AP124" s="97">
        <v>0</v>
      </c>
      <c r="AQ124" s="97">
        <v>18</v>
      </c>
      <c r="AR124" s="63">
        <v>27</v>
      </c>
      <c r="AS124" s="62">
        <v>12</v>
      </c>
      <c r="AT124" s="62">
        <v>40</v>
      </c>
      <c r="AU124" s="62">
        <v>4</v>
      </c>
      <c r="AV124" s="62">
        <v>4</v>
      </c>
      <c r="AW124" s="62">
        <v>4</v>
      </c>
      <c r="AX124" s="62">
        <v>0</v>
      </c>
      <c r="AY124" s="62">
        <v>17</v>
      </c>
      <c r="AZ124" s="63">
        <v>15</v>
      </c>
      <c r="BA124" s="62">
        <v>48</v>
      </c>
      <c r="BB124" s="62">
        <v>2</v>
      </c>
      <c r="BC124" s="62" t="e">
        <f>VLOOKUP($B$9,#REF!,2,TRUE)</f>
        <v>#REF!</v>
      </c>
      <c r="BD124" s="62" t="s">
        <v>31</v>
      </c>
      <c r="BE124" s="62"/>
      <c r="BG124" s="48"/>
      <c r="BH124" s="48"/>
      <c r="BI124" s="48"/>
      <c r="BJ124" s="48">
        <v>8</v>
      </c>
      <c r="BK124" s="73">
        <v>8</v>
      </c>
      <c r="BL124" s="48"/>
    </row>
    <row r="125" spans="1:64" s="45" customFormat="1" ht="15.75">
      <c r="A125" s="95">
        <v>83</v>
      </c>
      <c r="B125" s="96" t="s">
        <v>404</v>
      </c>
      <c r="C125" s="97" t="s">
        <v>405</v>
      </c>
      <c r="D125" s="97" t="s">
        <v>148</v>
      </c>
      <c r="E125" s="97" t="s">
        <v>406</v>
      </c>
      <c r="F125" s="97" t="s">
        <v>217</v>
      </c>
      <c r="G125" s="96" t="s">
        <v>407</v>
      </c>
      <c r="H125" s="96" t="s">
        <v>123</v>
      </c>
      <c r="I125" s="96" t="s">
        <v>124</v>
      </c>
      <c r="J125" s="96" t="s">
        <v>408</v>
      </c>
      <c r="K125" s="98" t="s">
        <v>409</v>
      </c>
      <c r="L125" s="97">
        <v>695</v>
      </c>
      <c r="M125" s="96" t="s">
        <v>154</v>
      </c>
      <c r="N125" s="96"/>
      <c r="O125" s="97" t="s">
        <v>128</v>
      </c>
      <c r="P125" s="97" t="s">
        <v>31</v>
      </c>
      <c r="Q125" s="97" t="s">
        <v>31</v>
      </c>
      <c r="R125" s="97" t="s">
        <v>31</v>
      </c>
      <c r="S125" s="97" t="s">
        <v>238</v>
      </c>
      <c r="T125" s="97">
        <v>3</v>
      </c>
      <c r="U125" s="97">
        <v>10</v>
      </c>
      <c r="V125" s="97">
        <v>0</v>
      </c>
      <c r="W125" s="97">
        <v>2</v>
      </c>
      <c r="X125" s="97" t="s">
        <v>168</v>
      </c>
      <c r="Y125" s="97" t="s">
        <v>168</v>
      </c>
      <c r="Z125" s="97" t="e">
        <v>#N/A</v>
      </c>
      <c r="AA125" s="97" t="e">
        <v>#N/A</v>
      </c>
      <c r="AB125" s="97"/>
      <c r="AC125" s="97" t="s">
        <v>157</v>
      </c>
      <c r="AD125" s="97" t="s">
        <v>132</v>
      </c>
      <c r="AE125" s="97" t="s">
        <v>133</v>
      </c>
      <c r="AF125" s="97" t="s">
        <v>134</v>
      </c>
      <c r="AG125" s="97" t="s">
        <v>31</v>
      </c>
      <c r="AH125" s="97">
        <v>941</v>
      </c>
      <c r="AI125" s="97">
        <v>700</v>
      </c>
      <c r="AJ125" s="97">
        <v>900</v>
      </c>
      <c r="AK125" s="97">
        <v>20</v>
      </c>
      <c r="AL125" s="97">
        <v>0</v>
      </c>
      <c r="AM125" s="97">
        <v>100</v>
      </c>
      <c r="AN125" s="97">
        <v>15</v>
      </c>
      <c r="AO125" s="97">
        <v>12</v>
      </c>
      <c r="AP125" s="99">
        <v>0</v>
      </c>
      <c r="AQ125" s="97">
        <v>18</v>
      </c>
      <c r="AR125" s="63">
        <v>28</v>
      </c>
      <c r="AS125" s="62">
        <v>13</v>
      </c>
      <c r="AT125" s="62">
        <v>40</v>
      </c>
      <c r="AU125" s="62">
        <v>4</v>
      </c>
      <c r="AV125" s="62">
        <v>4</v>
      </c>
      <c r="AW125" s="62">
        <v>4</v>
      </c>
      <c r="AX125" s="58">
        <v>0</v>
      </c>
      <c r="AY125" s="62">
        <v>15</v>
      </c>
      <c r="AZ125" s="63">
        <v>15</v>
      </c>
      <c r="BA125" s="62">
        <v>48</v>
      </c>
      <c r="BB125" s="62">
        <v>2</v>
      </c>
      <c r="BC125" s="62" t="e">
        <f>VLOOKUP($B$9,#REF!,2,TRUE)</f>
        <v>#REF!</v>
      </c>
      <c r="BD125" s="62" t="s">
        <v>31</v>
      </c>
      <c r="BE125" s="62"/>
      <c r="BG125" s="48"/>
      <c r="BH125" s="48"/>
      <c r="BI125" s="48"/>
      <c r="BJ125" s="48">
        <v>8</v>
      </c>
      <c r="BK125" s="73">
        <v>8</v>
      </c>
      <c r="BL125" s="48"/>
    </row>
    <row r="126" spans="1:64" s="45" customFormat="1" ht="15.75">
      <c r="A126" s="95">
        <v>457</v>
      </c>
      <c r="B126" s="96" t="s">
        <v>465</v>
      </c>
      <c r="C126" s="97" t="s">
        <v>466</v>
      </c>
      <c r="D126" s="97" t="s">
        <v>467</v>
      </c>
      <c r="E126" s="97" t="s">
        <v>468</v>
      </c>
      <c r="F126" s="97" t="s">
        <v>234</v>
      </c>
      <c r="G126" s="96" t="s">
        <v>469</v>
      </c>
      <c r="H126" s="96" t="s">
        <v>123</v>
      </c>
      <c r="I126" s="96" t="s">
        <v>151</v>
      </c>
      <c r="J126" s="96" t="s">
        <v>470</v>
      </c>
      <c r="K126" s="98" t="s">
        <v>355</v>
      </c>
      <c r="L126" s="97">
        <v>535</v>
      </c>
      <c r="M126" s="96" t="s">
        <v>154</v>
      </c>
      <c r="N126" s="96"/>
      <c r="O126" s="97" t="s">
        <v>155</v>
      </c>
      <c r="P126" s="97" t="s">
        <v>28</v>
      </c>
      <c r="Q126" s="97" t="s">
        <v>31</v>
      </c>
      <c r="R126" s="97" t="s">
        <v>31</v>
      </c>
      <c r="S126" s="97" t="s">
        <v>238</v>
      </c>
      <c r="T126" s="97">
        <v>3</v>
      </c>
      <c r="U126" s="97">
        <v>10</v>
      </c>
      <c r="V126" s="97">
        <v>0</v>
      </c>
      <c r="W126" s="97">
        <v>2</v>
      </c>
      <c r="X126" s="97" t="s">
        <v>168</v>
      </c>
      <c r="Y126" s="97" t="s">
        <v>168</v>
      </c>
      <c r="Z126" s="97" t="e">
        <v>#N/A</v>
      </c>
      <c r="AA126" s="97" t="e">
        <v>#N/A</v>
      </c>
      <c r="AB126" s="97"/>
      <c r="AC126" s="97" t="s">
        <v>157</v>
      </c>
      <c r="AD126" s="97" t="s">
        <v>132</v>
      </c>
      <c r="AE126" s="97" t="s">
        <v>133</v>
      </c>
      <c r="AF126" s="97" t="s">
        <v>134</v>
      </c>
      <c r="AG126" s="97" t="s">
        <v>31</v>
      </c>
      <c r="AH126" s="97">
        <v>941</v>
      </c>
      <c r="AI126" s="97">
        <v>700</v>
      </c>
      <c r="AJ126" s="97">
        <v>900</v>
      </c>
      <c r="AK126" s="97">
        <v>20</v>
      </c>
      <c r="AL126" s="97">
        <v>0</v>
      </c>
      <c r="AM126" s="97">
        <v>100</v>
      </c>
      <c r="AN126" s="97">
        <v>15</v>
      </c>
      <c r="AO126" s="97">
        <v>12</v>
      </c>
      <c r="AP126" s="97">
        <v>0</v>
      </c>
      <c r="AQ126" s="97">
        <v>18</v>
      </c>
      <c r="AR126" s="63">
        <v>28</v>
      </c>
      <c r="AS126" s="62">
        <v>13</v>
      </c>
      <c r="AT126" s="62">
        <v>40</v>
      </c>
      <c r="AU126" s="62">
        <v>4</v>
      </c>
      <c r="AV126" s="62">
        <v>4</v>
      </c>
      <c r="AW126" s="62">
        <v>4</v>
      </c>
      <c r="AX126" s="62">
        <v>0</v>
      </c>
      <c r="AY126" s="62">
        <v>15</v>
      </c>
      <c r="AZ126" s="63">
        <v>15</v>
      </c>
      <c r="BA126" s="62">
        <v>48</v>
      </c>
      <c r="BB126" s="62">
        <v>2</v>
      </c>
      <c r="BC126" s="62" t="e">
        <f>VLOOKUP($B$9,#REF!,2,TRUE)</f>
        <v>#REF!</v>
      </c>
      <c r="BD126" s="62" t="s">
        <v>31</v>
      </c>
      <c r="BE126" s="62"/>
      <c r="BG126" s="48"/>
      <c r="BH126" s="48"/>
      <c r="BI126" s="48"/>
      <c r="BJ126" s="48">
        <v>8</v>
      </c>
      <c r="BK126" s="73">
        <v>8</v>
      </c>
      <c r="BL126" s="48"/>
    </row>
    <row r="127" spans="1:64" s="45" customFormat="1" ht="15.75">
      <c r="A127" s="95">
        <v>453</v>
      </c>
      <c r="B127" s="96" t="s">
        <v>485</v>
      </c>
      <c r="C127" s="97" t="s">
        <v>486</v>
      </c>
      <c r="D127" s="97" t="s">
        <v>487</v>
      </c>
      <c r="E127" s="97" t="s">
        <v>488</v>
      </c>
      <c r="F127" s="97" t="s">
        <v>489</v>
      </c>
      <c r="G127" s="96" t="s">
        <v>490</v>
      </c>
      <c r="H127" s="96" t="s">
        <v>123</v>
      </c>
      <c r="I127" s="96" t="s">
        <v>151</v>
      </c>
      <c r="J127" s="96" t="s">
        <v>491</v>
      </c>
      <c r="K127" s="98" t="s">
        <v>492</v>
      </c>
      <c r="L127" s="97">
        <v>535</v>
      </c>
      <c r="M127" s="96" t="s">
        <v>154</v>
      </c>
      <c r="N127" s="96"/>
      <c r="O127" s="97" t="s">
        <v>155</v>
      </c>
      <c r="P127" s="97" t="s">
        <v>28</v>
      </c>
      <c r="Q127" s="97" t="s">
        <v>31</v>
      </c>
      <c r="R127" s="97" t="s">
        <v>31</v>
      </c>
      <c r="S127" s="97" t="s">
        <v>238</v>
      </c>
      <c r="T127" s="97">
        <v>3</v>
      </c>
      <c r="U127" s="97">
        <v>10</v>
      </c>
      <c r="V127" s="97">
        <v>0</v>
      </c>
      <c r="W127" s="97">
        <v>2</v>
      </c>
      <c r="X127" s="97" t="s">
        <v>168</v>
      </c>
      <c r="Y127" s="97" t="s">
        <v>168</v>
      </c>
      <c r="Z127" s="97" t="e">
        <v>#N/A</v>
      </c>
      <c r="AA127" s="97" t="e">
        <v>#N/A</v>
      </c>
      <c r="AB127" s="97"/>
      <c r="AC127" s="97" t="s">
        <v>157</v>
      </c>
      <c r="AD127" s="97" t="s">
        <v>132</v>
      </c>
      <c r="AE127" s="97" t="s">
        <v>169</v>
      </c>
      <c r="AF127" s="97" t="s">
        <v>134</v>
      </c>
      <c r="AG127" s="97" t="s">
        <v>31</v>
      </c>
      <c r="AH127" s="97">
        <v>941</v>
      </c>
      <c r="AI127" s="97">
        <v>700</v>
      </c>
      <c r="AJ127" s="97">
        <v>900</v>
      </c>
      <c r="AK127" s="97">
        <v>20</v>
      </c>
      <c r="AL127" s="97">
        <v>0</v>
      </c>
      <c r="AM127" s="97">
        <v>100</v>
      </c>
      <c r="AN127" s="97">
        <v>15</v>
      </c>
      <c r="AO127" s="97">
        <v>12</v>
      </c>
      <c r="AP127" s="99">
        <v>0</v>
      </c>
      <c r="AQ127" s="97">
        <v>18</v>
      </c>
      <c r="AR127" s="61">
        <v>28</v>
      </c>
      <c r="AS127" s="60">
        <v>13</v>
      </c>
      <c r="AT127" s="60">
        <v>40</v>
      </c>
      <c r="AU127" s="60">
        <v>4</v>
      </c>
      <c r="AV127" s="60">
        <v>4</v>
      </c>
      <c r="AW127" s="60">
        <v>4</v>
      </c>
      <c r="AX127" s="64">
        <v>0</v>
      </c>
      <c r="AY127" s="60">
        <v>15</v>
      </c>
      <c r="AZ127" s="61">
        <v>15</v>
      </c>
      <c r="BA127" s="60">
        <v>48</v>
      </c>
      <c r="BB127" s="60">
        <v>2</v>
      </c>
      <c r="BC127" s="60" t="e">
        <f>VLOOKUP($B$9,#REF!,2,TRUE)</f>
        <v>#REF!</v>
      </c>
      <c r="BD127" s="60" t="s">
        <v>31</v>
      </c>
      <c r="BE127" s="60"/>
      <c r="BG127" s="48"/>
      <c r="BH127" s="48"/>
      <c r="BI127" s="48"/>
      <c r="BJ127" s="48">
        <v>8</v>
      </c>
      <c r="BK127" s="73">
        <v>8</v>
      </c>
      <c r="BL127" s="48"/>
    </row>
    <row r="128" spans="1:64" s="45" customFormat="1" ht="15.75">
      <c r="A128" s="95">
        <v>428</v>
      </c>
      <c r="B128" s="96" t="s">
        <v>493</v>
      </c>
      <c r="C128" s="97" t="s">
        <v>494</v>
      </c>
      <c r="D128" s="97" t="s">
        <v>495</v>
      </c>
      <c r="E128" s="97" t="s">
        <v>496</v>
      </c>
      <c r="F128" s="97" t="s">
        <v>497</v>
      </c>
      <c r="G128" s="96" t="s">
        <v>498</v>
      </c>
      <c r="H128" s="96" t="s">
        <v>123</v>
      </c>
      <c r="I128" s="96" t="s">
        <v>151</v>
      </c>
      <c r="J128" s="96" t="s">
        <v>499</v>
      </c>
      <c r="K128" s="98" t="s">
        <v>500</v>
      </c>
      <c r="L128" s="97">
        <v>545</v>
      </c>
      <c r="M128" s="96" t="s">
        <v>154</v>
      </c>
      <c r="N128" s="96"/>
      <c r="O128" s="97" t="s">
        <v>284</v>
      </c>
      <c r="P128" s="97" t="s">
        <v>31</v>
      </c>
      <c r="Q128" s="97" t="s">
        <v>28</v>
      </c>
      <c r="R128" s="97" t="s">
        <v>31</v>
      </c>
      <c r="S128" s="97" t="s">
        <v>238</v>
      </c>
      <c r="T128" s="97">
        <v>3</v>
      </c>
      <c r="U128" s="97">
        <v>10</v>
      </c>
      <c r="V128" s="97">
        <v>0</v>
      </c>
      <c r="W128" s="97">
        <v>2</v>
      </c>
      <c r="X128" s="97" t="s">
        <v>168</v>
      </c>
      <c r="Y128" s="97" t="s">
        <v>168</v>
      </c>
      <c r="Z128" s="97" t="e">
        <v>#N/A</v>
      </c>
      <c r="AA128" s="97" t="e">
        <v>#N/A</v>
      </c>
      <c r="AB128" s="97"/>
      <c r="AC128" s="97" t="s">
        <v>157</v>
      </c>
      <c r="AD128" s="97" t="s">
        <v>132</v>
      </c>
      <c r="AE128" s="97" t="s">
        <v>133</v>
      </c>
      <c r="AF128" s="97" t="s">
        <v>329</v>
      </c>
      <c r="AG128" s="97" t="s">
        <v>31</v>
      </c>
      <c r="AH128" s="97">
        <v>941</v>
      </c>
      <c r="AI128" s="97">
        <v>700</v>
      </c>
      <c r="AJ128" s="97">
        <v>900</v>
      </c>
      <c r="AK128" s="97">
        <v>20</v>
      </c>
      <c r="AL128" s="97">
        <v>0</v>
      </c>
      <c r="AM128" s="97">
        <v>100</v>
      </c>
      <c r="AN128" s="97">
        <v>15</v>
      </c>
      <c r="AO128" s="97">
        <v>12</v>
      </c>
      <c r="AP128" s="97">
        <v>0</v>
      </c>
      <c r="AQ128" s="97">
        <v>18</v>
      </c>
      <c r="AR128" s="63">
        <v>28</v>
      </c>
      <c r="AS128" s="62">
        <v>13</v>
      </c>
      <c r="AT128" s="62">
        <v>40</v>
      </c>
      <c r="AU128" s="62">
        <v>4</v>
      </c>
      <c r="AV128" s="62">
        <v>4</v>
      </c>
      <c r="AW128" s="62">
        <v>4</v>
      </c>
      <c r="AX128" s="62">
        <v>0</v>
      </c>
      <c r="AY128" s="62">
        <v>15</v>
      </c>
      <c r="AZ128" s="63">
        <v>15</v>
      </c>
      <c r="BA128" s="62">
        <v>48</v>
      </c>
      <c r="BB128" s="62">
        <v>2</v>
      </c>
      <c r="BC128" s="62" t="e">
        <f>VLOOKUP($B$9,#REF!,2,TRUE)</f>
        <v>#REF!</v>
      </c>
      <c r="BD128" s="62" t="s">
        <v>31</v>
      </c>
      <c r="BE128" s="62"/>
      <c r="BG128" s="48"/>
      <c r="BH128" s="48"/>
      <c r="BI128" s="48"/>
      <c r="BJ128" s="48">
        <v>8</v>
      </c>
      <c r="BK128" s="73">
        <v>8</v>
      </c>
      <c r="BL128" s="48"/>
    </row>
    <row r="129" spans="1:64" s="45" customFormat="1" ht="15.75">
      <c r="A129" s="95">
        <v>409</v>
      </c>
      <c r="B129" s="96" t="s">
        <v>501</v>
      </c>
      <c r="C129" s="97" t="s">
        <v>502</v>
      </c>
      <c r="D129" s="97" t="s">
        <v>503</v>
      </c>
      <c r="E129" s="97" t="s">
        <v>504</v>
      </c>
      <c r="F129" s="97" t="s">
        <v>505</v>
      </c>
      <c r="G129" s="96" t="s">
        <v>506</v>
      </c>
      <c r="H129" s="96" t="s">
        <v>123</v>
      </c>
      <c r="I129" s="96" t="s">
        <v>151</v>
      </c>
      <c r="J129" s="96" t="s">
        <v>507</v>
      </c>
      <c r="K129" s="98" t="s">
        <v>508</v>
      </c>
      <c r="L129" s="97">
        <v>682</v>
      </c>
      <c r="M129" s="96" t="s">
        <v>154</v>
      </c>
      <c r="N129" s="96"/>
      <c r="O129" s="97" t="s">
        <v>128</v>
      </c>
      <c r="P129" s="97" t="s">
        <v>31</v>
      </c>
      <c r="Q129" s="97" t="s">
        <v>31</v>
      </c>
      <c r="R129" s="97" t="s">
        <v>31</v>
      </c>
      <c r="S129" s="97" t="s">
        <v>177</v>
      </c>
      <c r="T129" s="97">
        <v>3</v>
      </c>
      <c r="U129" s="97">
        <v>10</v>
      </c>
      <c r="V129" s="97">
        <v>0</v>
      </c>
      <c r="W129" s="97">
        <v>2</v>
      </c>
      <c r="X129" s="97" t="s">
        <v>168</v>
      </c>
      <c r="Y129" s="97" t="s">
        <v>168</v>
      </c>
      <c r="Z129" s="97" t="e">
        <v>#N/A</v>
      </c>
      <c r="AA129" s="97" t="e">
        <v>#N/A</v>
      </c>
      <c r="AB129" s="97"/>
      <c r="AC129" s="97" t="s">
        <v>157</v>
      </c>
      <c r="AD129" s="97" t="s">
        <v>132</v>
      </c>
      <c r="AE129" s="97" t="s">
        <v>133</v>
      </c>
      <c r="AF129" s="97" t="s">
        <v>329</v>
      </c>
      <c r="AG129" s="97" t="s">
        <v>31</v>
      </c>
      <c r="AH129" s="97">
        <v>941</v>
      </c>
      <c r="AI129" s="97">
        <v>700</v>
      </c>
      <c r="AJ129" s="97">
        <v>900</v>
      </c>
      <c r="AK129" s="97">
        <v>20</v>
      </c>
      <c r="AL129" s="97">
        <v>0</v>
      </c>
      <c r="AM129" s="97">
        <v>100</v>
      </c>
      <c r="AN129" s="97">
        <v>15</v>
      </c>
      <c r="AO129" s="97">
        <v>12</v>
      </c>
      <c r="AP129" s="99">
        <v>0</v>
      </c>
      <c r="AQ129" s="97">
        <v>18</v>
      </c>
      <c r="AR129" s="61">
        <v>28</v>
      </c>
      <c r="AS129" s="60">
        <v>13</v>
      </c>
      <c r="AT129" s="60">
        <v>40</v>
      </c>
      <c r="AU129" s="60">
        <v>4</v>
      </c>
      <c r="AV129" s="60">
        <v>4</v>
      </c>
      <c r="AW129" s="60">
        <v>4</v>
      </c>
      <c r="AX129" s="64">
        <v>0</v>
      </c>
      <c r="AY129" s="60">
        <v>15</v>
      </c>
      <c r="AZ129" s="61">
        <v>15</v>
      </c>
      <c r="BA129" s="60">
        <v>48</v>
      </c>
      <c r="BB129" s="60">
        <v>2</v>
      </c>
      <c r="BC129" s="60" t="e">
        <f>VLOOKUP($B$9,#REF!,2,TRUE)</f>
        <v>#REF!</v>
      </c>
      <c r="BD129" s="60" t="s">
        <v>31</v>
      </c>
      <c r="BE129" s="60"/>
      <c r="BG129" s="48"/>
      <c r="BH129" s="48"/>
      <c r="BI129" s="48"/>
      <c r="BJ129" s="48">
        <v>8</v>
      </c>
      <c r="BK129" s="73">
        <v>8</v>
      </c>
      <c r="BL129" s="48"/>
    </row>
    <row r="130" spans="1:64" s="45" customFormat="1" ht="15.75">
      <c r="A130" s="95">
        <v>435</v>
      </c>
      <c r="B130" s="96" t="s">
        <v>515</v>
      </c>
      <c r="C130" s="97" t="s">
        <v>516</v>
      </c>
      <c r="D130" s="97" t="s">
        <v>517</v>
      </c>
      <c r="E130" s="97" t="s">
        <v>518</v>
      </c>
      <c r="F130" s="97" t="s">
        <v>217</v>
      </c>
      <c r="G130" s="96" t="s">
        <v>519</v>
      </c>
      <c r="H130" s="96" t="s">
        <v>123</v>
      </c>
      <c r="I130" s="96" t="s">
        <v>124</v>
      </c>
      <c r="J130" s="96" t="s">
        <v>520</v>
      </c>
      <c r="K130" s="98" t="s">
        <v>246</v>
      </c>
      <c r="L130" s="97">
        <v>535</v>
      </c>
      <c r="M130" s="96" t="s">
        <v>154</v>
      </c>
      <c r="N130" s="96"/>
      <c r="O130" s="97" t="s">
        <v>155</v>
      </c>
      <c r="P130" s="97" t="s">
        <v>28</v>
      </c>
      <c r="Q130" s="97" t="s">
        <v>31</v>
      </c>
      <c r="R130" s="97" t="s">
        <v>31</v>
      </c>
      <c r="S130" s="97" t="s">
        <v>238</v>
      </c>
      <c r="T130" s="97">
        <v>3</v>
      </c>
      <c r="U130" s="97">
        <v>10</v>
      </c>
      <c r="V130" s="97">
        <v>0</v>
      </c>
      <c r="W130" s="97">
        <v>2</v>
      </c>
      <c r="X130" s="97" t="s">
        <v>168</v>
      </c>
      <c r="Y130" s="97" t="s">
        <v>168</v>
      </c>
      <c r="Z130" s="97" t="e">
        <v>#N/A</v>
      </c>
      <c r="AA130" s="97" t="e">
        <v>#N/A</v>
      </c>
      <c r="AB130" s="97"/>
      <c r="AC130" s="97" t="s">
        <v>157</v>
      </c>
      <c r="AD130" s="97" t="s">
        <v>132</v>
      </c>
      <c r="AE130" s="97" t="s">
        <v>133</v>
      </c>
      <c r="AF130" s="97" t="s">
        <v>134</v>
      </c>
      <c r="AG130" s="97" t="s">
        <v>31</v>
      </c>
      <c r="AH130" s="97">
        <v>941</v>
      </c>
      <c r="AI130" s="97">
        <v>700</v>
      </c>
      <c r="AJ130" s="97">
        <v>900</v>
      </c>
      <c r="AK130" s="97">
        <v>20</v>
      </c>
      <c r="AL130" s="97">
        <v>0</v>
      </c>
      <c r="AM130" s="97">
        <v>100</v>
      </c>
      <c r="AN130" s="97">
        <v>15</v>
      </c>
      <c r="AO130" s="97">
        <v>12</v>
      </c>
      <c r="AP130" s="97">
        <v>0</v>
      </c>
      <c r="AQ130" s="97">
        <v>18</v>
      </c>
      <c r="AR130" s="61">
        <v>28</v>
      </c>
      <c r="AS130" s="60">
        <v>13</v>
      </c>
      <c r="AT130" s="60">
        <v>40</v>
      </c>
      <c r="AU130" s="60">
        <v>4</v>
      </c>
      <c r="AV130" s="60">
        <v>4</v>
      </c>
      <c r="AW130" s="60">
        <v>4</v>
      </c>
      <c r="AX130" s="60">
        <v>0</v>
      </c>
      <c r="AY130" s="60">
        <v>15</v>
      </c>
      <c r="AZ130" s="61">
        <v>15</v>
      </c>
      <c r="BA130" s="60">
        <v>48</v>
      </c>
      <c r="BB130" s="60">
        <v>2</v>
      </c>
      <c r="BC130" s="60" t="e">
        <f>VLOOKUP($B$9,#REF!,2,TRUE)</f>
        <v>#REF!</v>
      </c>
      <c r="BD130" s="60" t="s">
        <v>31</v>
      </c>
      <c r="BE130" s="60"/>
      <c r="BG130" s="48"/>
      <c r="BH130" s="48"/>
      <c r="BI130" s="48"/>
      <c r="BJ130" s="48">
        <v>8</v>
      </c>
      <c r="BK130" s="73">
        <v>8</v>
      </c>
      <c r="BL130" s="48"/>
    </row>
    <row r="131" spans="1:64" s="45" customFormat="1" ht="15.75">
      <c r="A131" s="95">
        <v>464</v>
      </c>
      <c r="B131" s="96" t="s">
        <v>521</v>
      </c>
      <c r="C131" s="97" t="s">
        <v>522</v>
      </c>
      <c r="D131" s="97" t="s">
        <v>523</v>
      </c>
      <c r="E131" s="97" t="s">
        <v>524</v>
      </c>
      <c r="F131" s="97" t="s">
        <v>352</v>
      </c>
      <c r="G131" s="96" t="s">
        <v>525</v>
      </c>
      <c r="H131" s="96" t="s">
        <v>123</v>
      </c>
      <c r="I131" s="96" t="s">
        <v>151</v>
      </c>
      <c r="J131" s="96" t="s">
        <v>526</v>
      </c>
      <c r="K131" s="98" t="s">
        <v>355</v>
      </c>
      <c r="L131" s="97">
        <v>535</v>
      </c>
      <c r="M131" s="96" t="s">
        <v>154</v>
      </c>
      <c r="N131" s="96"/>
      <c r="O131" s="97" t="s">
        <v>155</v>
      </c>
      <c r="P131" s="97" t="s">
        <v>28</v>
      </c>
      <c r="Q131" s="97" t="s">
        <v>31</v>
      </c>
      <c r="R131" s="97" t="s">
        <v>31</v>
      </c>
      <c r="S131" s="97" t="s">
        <v>238</v>
      </c>
      <c r="T131" s="97">
        <v>3</v>
      </c>
      <c r="U131" s="97">
        <v>10</v>
      </c>
      <c r="V131" s="97">
        <v>0</v>
      </c>
      <c r="W131" s="97">
        <v>2</v>
      </c>
      <c r="X131" s="97" t="s">
        <v>168</v>
      </c>
      <c r="Y131" s="97" t="s">
        <v>168</v>
      </c>
      <c r="Z131" s="97" t="e">
        <v>#N/A</v>
      </c>
      <c r="AA131" s="97" t="e">
        <v>#N/A</v>
      </c>
      <c r="AB131" s="97"/>
      <c r="AC131" s="97" t="s">
        <v>157</v>
      </c>
      <c r="AD131" s="97" t="s">
        <v>132</v>
      </c>
      <c r="AE131" s="97" t="s">
        <v>169</v>
      </c>
      <c r="AF131" s="97" t="s">
        <v>134</v>
      </c>
      <c r="AG131" s="97" t="s">
        <v>31</v>
      </c>
      <c r="AH131" s="97">
        <v>941</v>
      </c>
      <c r="AI131" s="97">
        <v>700</v>
      </c>
      <c r="AJ131" s="97">
        <v>900</v>
      </c>
      <c r="AK131" s="97">
        <v>20</v>
      </c>
      <c r="AL131" s="97">
        <v>0</v>
      </c>
      <c r="AM131" s="97">
        <v>100</v>
      </c>
      <c r="AN131" s="97">
        <v>15</v>
      </c>
      <c r="AO131" s="97">
        <v>12</v>
      </c>
      <c r="AP131" s="99">
        <v>0</v>
      </c>
      <c r="AQ131" s="97">
        <v>18</v>
      </c>
      <c r="AR131" s="63">
        <v>28</v>
      </c>
      <c r="AS131" s="62">
        <v>13</v>
      </c>
      <c r="AT131" s="62">
        <v>40</v>
      </c>
      <c r="AU131" s="62">
        <v>4</v>
      </c>
      <c r="AV131" s="62">
        <v>4</v>
      </c>
      <c r="AW131" s="62">
        <v>4</v>
      </c>
      <c r="AX131" s="58">
        <v>0</v>
      </c>
      <c r="AY131" s="62">
        <v>15</v>
      </c>
      <c r="AZ131" s="63">
        <v>15</v>
      </c>
      <c r="BA131" s="62">
        <v>48</v>
      </c>
      <c r="BB131" s="62">
        <v>2</v>
      </c>
      <c r="BC131" s="62" t="e">
        <f>VLOOKUP($B$9,#REF!,2,TRUE)</f>
        <v>#REF!</v>
      </c>
      <c r="BD131" s="62" t="s">
        <v>31</v>
      </c>
      <c r="BE131" s="62"/>
      <c r="BG131" s="48"/>
      <c r="BH131" s="48"/>
      <c r="BI131" s="48"/>
      <c r="BJ131" s="48">
        <v>8</v>
      </c>
      <c r="BK131" s="73">
        <v>8</v>
      </c>
      <c r="BL131" s="48"/>
    </row>
    <row r="132" spans="1:64" s="45" customFormat="1" ht="15.75">
      <c r="A132" s="95">
        <v>451</v>
      </c>
      <c r="B132" s="96" t="s">
        <v>533</v>
      </c>
      <c r="C132" s="97" t="s">
        <v>534</v>
      </c>
      <c r="D132" s="97" t="s">
        <v>535</v>
      </c>
      <c r="E132" s="97" t="s">
        <v>536</v>
      </c>
      <c r="F132" s="97" t="s">
        <v>280</v>
      </c>
      <c r="G132" s="96" t="s">
        <v>537</v>
      </c>
      <c r="H132" s="96" t="s">
        <v>123</v>
      </c>
      <c r="I132" s="96" t="s">
        <v>151</v>
      </c>
      <c r="J132" s="96" t="s">
        <v>538</v>
      </c>
      <c r="K132" s="98" t="s">
        <v>355</v>
      </c>
      <c r="L132" s="97">
        <v>535</v>
      </c>
      <c r="M132" s="96" t="s">
        <v>154</v>
      </c>
      <c r="N132" s="96"/>
      <c r="O132" s="97" t="s">
        <v>155</v>
      </c>
      <c r="P132" s="97" t="s">
        <v>28</v>
      </c>
      <c r="Q132" s="97" t="s">
        <v>31</v>
      </c>
      <c r="R132" s="97" t="s">
        <v>31</v>
      </c>
      <c r="S132" s="97" t="s">
        <v>238</v>
      </c>
      <c r="T132" s="97">
        <v>3</v>
      </c>
      <c r="U132" s="97">
        <v>10</v>
      </c>
      <c r="V132" s="97">
        <v>0</v>
      </c>
      <c r="W132" s="97">
        <v>2</v>
      </c>
      <c r="X132" s="97" t="s">
        <v>168</v>
      </c>
      <c r="Y132" s="97" t="s">
        <v>168</v>
      </c>
      <c r="Z132" s="97" t="e">
        <v>#N/A</v>
      </c>
      <c r="AA132" s="97" t="e">
        <v>#N/A</v>
      </c>
      <c r="AB132" s="97"/>
      <c r="AC132" s="97" t="s">
        <v>157</v>
      </c>
      <c r="AD132" s="97" t="s">
        <v>132</v>
      </c>
      <c r="AE132" s="97" t="s">
        <v>169</v>
      </c>
      <c r="AF132" s="97" t="s">
        <v>134</v>
      </c>
      <c r="AG132" s="97" t="s">
        <v>31</v>
      </c>
      <c r="AH132" s="97">
        <v>941</v>
      </c>
      <c r="AI132" s="97">
        <v>700</v>
      </c>
      <c r="AJ132" s="97">
        <v>900</v>
      </c>
      <c r="AK132" s="97">
        <v>20</v>
      </c>
      <c r="AL132" s="97">
        <v>0</v>
      </c>
      <c r="AM132" s="97">
        <v>100</v>
      </c>
      <c r="AN132" s="97">
        <v>15</v>
      </c>
      <c r="AO132" s="97">
        <v>12</v>
      </c>
      <c r="AP132" s="97">
        <v>0</v>
      </c>
      <c r="AQ132" s="97">
        <v>18</v>
      </c>
      <c r="AR132" s="63">
        <v>28</v>
      </c>
      <c r="AS132" s="62">
        <v>13</v>
      </c>
      <c r="AT132" s="62">
        <v>40</v>
      </c>
      <c r="AU132" s="62">
        <v>4</v>
      </c>
      <c r="AV132" s="62">
        <v>4</v>
      </c>
      <c r="AW132" s="62">
        <v>4</v>
      </c>
      <c r="AX132" s="62">
        <v>0</v>
      </c>
      <c r="AY132" s="62">
        <v>15</v>
      </c>
      <c r="AZ132" s="63">
        <v>15</v>
      </c>
      <c r="BA132" s="62">
        <v>48</v>
      </c>
      <c r="BB132" s="62">
        <v>2</v>
      </c>
      <c r="BC132" s="62" t="e">
        <f>VLOOKUP($B$9,#REF!,2,TRUE)</f>
        <v>#REF!</v>
      </c>
      <c r="BD132" s="62" t="s">
        <v>31</v>
      </c>
      <c r="BE132" s="62"/>
      <c r="BG132" s="48"/>
      <c r="BH132" s="48"/>
      <c r="BI132" s="48"/>
      <c r="BJ132" s="48">
        <v>8</v>
      </c>
      <c r="BK132" s="73">
        <v>8</v>
      </c>
      <c r="BL132" s="48"/>
    </row>
    <row r="133" spans="1:64" s="45" customFormat="1" ht="15.75">
      <c r="A133" s="95">
        <v>25</v>
      </c>
      <c r="B133" s="96" t="s">
        <v>539</v>
      </c>
      <c r="C133" s="97" t="s">
        <v>540</v>
      </c>
      <c r="D133" s="97" t="s">
        <v>541</v>
      </c>
      <c r="E133" s="97" t="s">
        <v>542</v>
      </c>
      <c r="F133" s="97" t="s">
        <v>543</v>
      </c>
      <c r="G133" s="96" t="s">
        <v>544</v>
      </c>
      <c r="H133" s="96" t="s">
        <v>123</v>
      </c>
      <c r="I133" s="96" t="s">
        <v>326</v>
      </c>
      <c r="J133" s="96" t="s">
        <v>545</v>
      </c>
      <c r="K133" s="98" t="s">
        <v>546</v>
      </c>
      <c r="L133" s="97">
        <v>849</v>
      </c>
      <c r="M133" s="96" t="s">
        <v>154</v>
      </c>
      <c r="N133" s="96"/>
      <c r="O133" s="97" t="s">
        <v>128</v>
      </c>
      <c r="P133" s="97" t="s">
        <v>31</v>
      </c>
      <c r="Q133" s="97" t="s">
        <v>31</v>
      </c>
      <c r="R133" s="97" t="s">
        <v>31</v>
      </c>
      <c r="S133" s="97" t="s">
        <v>177</v>
      </c>
      <c r="T133" s="97">
        <v>3</v>
      </c>
      <c r="U133" s="97">
        <v>10</v>
      </c>
      <c r="V133" s="97">
        <v>0</v>
      </c>
      <c r="W133" s="97">
        <v>2</v>
      </c>
      <c r="X133" s="97" t="s">
        <v>168</v>
      </c>
      <c r="Y133" s="97" t="s">
        <v>168</v>
      </c>
      <c r="Z133" s="97" t="e">
        <v>#N/A</v>
      </c>
      <c r="AA133" s="97" t="e">
        <v>#N/A</v>
      </c>
      <c r="AB133" s="97"/>
      <c r="AC133" s="97" t="s">
        <v>157</v>
      </c>
      <c r="AD133" s="97" t="s">
        <v>132</v>
      </c>
      <c r="AE133" s="97" t="s">
        <v>133</v>
      </c>
      <c r="AF133" s="97" t="s">
        <v>329</v>
      </c>
      <c r="AG133" s="97" t="s">
        <v>31</v>
      </c>
      <c r="AH133" s="97">
        <v>941</v>
      </c>
      <c r="AI133" s="97">
        <v>500</v>
      </c>
      <c r="AJ133" s="97" t="s">
        <v>369</v>
      </c>
      <c r="AK133" s="97">
        <v>20</v>
      </c>
      <c r="AL133" s="97">
        <v>0</v>
      </c>
      <c r="AM133" s="97">
        <v>100</v>
      </c>
      <c r="AN133" s="97">
        <v>15</v>
      </c>
      <c r="AO133" s="97">
        <v>12</v>
      </c>
      <c r="AP133" s="99">
        <v>0</v>
      </c>
      <c r="AQ133" s="97">
        <v>18</v>
      </c>
      <c r="AR133" s="61">
        <v>28</v>
      </c>
      <c r="AS133" s="60">
        <v>13</v>
      </c>
      <c r="AT133" s="60">
        <v>40</v>
      </c>
      <c r="AU133" s="60">
        <v>4</v>
      </c>
      <c r="AV133" s="60">
        <v>4</v>
      </c>
      <c r="AW133" s="60">
        <v>4</v>
      </c>
      <c r="AX133" s="64">
        <v>0</v>
      </c>
      <c r="AY133" s="60">
        <v>15</v>
      </c>
      <c r="AZ133" s="61">
        <v>15</v>
      </c>
      <c r="BA133" s="60">
        <v>48</v>
      </c>
      <c r="BB133" s="60">
        <v>2</v>
      </c>
      <c r="BC133" s="60" t="e">
        <f>VLOOKUP($B$9,#REF!,2,TRUE)</f>
        <v>#REF!</v>
      </c>
      <c r="BD133" s="60" t="s">
        <v>31</v>
      </c>
      <c r="BE133" s="60"/>
      <c r="BG133" s="48"/>
      <c r="BH133" s="48"/>
      <c r="BI133" s="48"/>
      <c r="BJ133" s="48">
        <v>8</v>
      </c>
      <c r="BK133" s="73">
        <v>8</v>
      </c>
      <c r="BL133" s="48"/>
    </row>
    <row r="134" spans="1:64" s="45" customFormat="1" ht="15.75">
      <c r="A134" s="95">
        <v>49</v>
      </c>
      <c r="B134" s="96" t="s">
        <v>547</v>
      </c>
      <c r="C134" s="97" t="s">
        <v>548</v>
      </c>
      <c r="D134" s="97" t="s">
        <v>549</v>
      </c>
      <c r="E134" s="97" t="s">
        <v>550</v>
      </c>
      <c r="F134" s="97" t="s">
        <v>137</v>
      </c>
      <c r="G134" s="96" t="s">
        <v>551</v>
      </c>
      <c r="H134" s="96" t="s">
        <v>123</v>
      </c>
      <c r="I134" s="96" t="s">
        <v>326</v>
      </c>
      <c r="J134" s="96" t="s">
        <v>552</v>
      </c>
      <c r="K134" s="98" t="s">
        <v>328</v>
      </c>
      <c r="L134" s="97">
        <v>614</v>
      </c>
      <c r="M134" s="96" t="s">
        <v>154</v>
      </c>
      <c r="N134" s="96"/>
      <c r="O134" s="97" t="s">
        <v>128</v>
      </c>
      <c r="P134" s="97" t="s">
        <v>31</v>
      </c>
      <c r="Q134" s="97" t="s">
        <v>31</v>
      </c>
      <c r="R134" s="97" t="s">
        <v>31</v>
      </c>
      <c r="S134" s="97" t="s">
        <v>177</v>
      </c>
      <c r="T134" s="97">
        <v>3</v>
      </c>
      <c r="U134" s="97">
        <v>10</v>
      </c>
      <c r="V134" s="97">
        <v>0</v>
      </c>
      <c r="W134" s="97">
        <v>2</v>
      </c>
      <c r="X134" s="97" t="s">
        <v>168</v>
      </c>
      <c r="Y134" s="97" t="s">
        <v>168</v>
      </c>
      <c r="Z134" s="97" t="e">
        <v>#N/A</v>
      </c>
      <c r="AA134" s="97" t="e">
        <v>#N/A</v>
      </c>
      <c r="AB134" s="97"/>
      <c r="AC134" s="97" t="s">
        <v>157</v>
      </c>
      <c r="AD134" s="97" t="s">
        <v>132</v>
      </c>
      <c r="AE134" s="97" t="s">
        <v>133</v>
      </c>
      <c r="AF134" s="97" t="s">
        <v>329</v>
      </c>
      <c r="AG134" s="97" t="s">
        <v>31</v>
      </c>
      <c r="AH134" s="97">
        <v>941</v>
      </c>
      <c r="AI134" s="97">
        <v>700</v>
      </c>
      <c r="AJ134" s="97">
        <v>900</v>
      </c>
      <c r="AK134" s="97">
        <v>20</v>
      </c>
      <c r="AL134" s="97">
        <v>0</v>
      </c>
      <c r="AM134" s="97">
        <v>100</v>
      </c>
      <c r="AN134" s="97">
        <v>15</v>
      </c>
      <c r="AO134" s="97">
        <v>12</v>
      </c>
      <c r="AP134" s="97">
        <v>0</v>
      </c>
      <c r="AQ134" s="97">
        <v>18</v>
      </c>
      <c r="AR134" s="63">
        <v>28</v>
      </c>
      <c r="AS134" s="62">
        <v>13</v>
      </c>
      <c r="AT134" s="62">
        <v>40</v>
      </c>
      <c r="AU134" s="62">
        <v>4</v>
      </c>
      <c r="AV134" s="62">
        <v>4</v>
      </c>
      <c r="AW134" s="62">
        <v>4</v>
      </c>
      <c r="AX134" s="62">
        <v>0</v>
      </c>
      <c r="AY134" s="62">
        <v>15</v>
      </c>
      <c r="AZ134" s="63">
        <v>15</v>
      </c>
      <c r="BA134" s="62">
        <v>48</v>
      </c>
      <c r="BB134" s="62">
        <v>2</v>
      </c>
      <c r="BC134" s="62" t="e">
        <f>VLOOKUP($B$9,#REF!,2,TRUE)</f>
        <v>#REF!</v>
      </c>
      <c r="BD134" s="62" t="s">
        <v>31</v>
      </c>
      <c r="BE134" s="62"/>
      <c r="BG134" s="48"/>
      <c r="BH134" s="48"/>
      <c r="BI134" s="48"/>
      <c r="BJ134" s="48">
        <v>8</v>
      </c>
      <c r="BK134" s="73">
        <v>8</v>
      </c>
      <c r="BL134" s="48"/>
    </row>
    <row r="135" spans="1:64" s="45" customFormat="1" ht="15.75">
      <c r="A135" s="95">
        <v>44</v>
      </c>
      <c r="B135" s="96" t="s">
        <v>553</v>
      </c>
      <c r="C135" s="97" t="s">
        <v>554</v>
      </c>
      <c r="D135" s="97" t="s">
        <v>555</v>
      </c>
      <c r="E135" s="97" t="s">
        <v>556</v>
      </c>
      <c r="F135" s="97" t="s">
        <v>557</v>
      </c>
      <c r="G135" s="96" t="s">
        <v>558</v>
      </c>
      <c r="H135" s="96" t="s">
        <v>123</v>
      </c>
      <c r="I135" s="96" t="s">
        <v>401</v>
      </c>
      <c r="J135" s="96" t="s">
        <v>559</v>
      </c>
      <c r="K135" s="98" t="s">
        <v>560</v>
      </c>
      <c r="L135" s="97">
        <v>789</v>
      </c>
      <c r="M135" s="96" t="s">
        <v>154</v>
      </c>
      <c r="N135" s="96"/>
      <c r="O135" s="97" t="s">
        <v>128</v>
      </c>
      <c r="P135" s="97" t="s">
        <v>31</v>
      </c>
      <c r="Q135" s="97" t="s">
        <v>31</v>
      </c>
      <c r="R135" s="97" t="s">
        <v>31</v>
      </c>
      <c r="S135" s="97" t="s">
        <v>177</v>
      </c>
      <c r="T135" s="97">
        <v>3</v>
      </c>
      <c r="U135" s="97">
        <v>10</v>
      </c>
      <c r="V135" s="97">
        <v>0</v>
      </c>
      <c r="W135" s="97">
        <v>2</v>
      </c>
      <c r="X135" s="97" t="s">
        <v>168</v>
      </c>
      <c r="Y135" s="97" t="s">
        <v>168</v>
      </c>
      <c r="Z135" s="97" t="e">
        <v>#N/A</v>
      </c>
      <c r="AA135" s="97" t="e">
        <v>#N/A</v>
      </c>
      <c r="AB135" s="97"/>
      <c r="AC135" s="97" t="s">
        <v>157</v>
      </c>
      <c r="AD135" s="97" t="s">
        <v>132</v>
      </c>
      <c r="AE135" s="97" t="s">
        <v>133</v>
      </c>
      <c r="AF135" s="97" t="s">
        <v>329</v>
      </c>
      <c r="AG135" s="97" t="s">
        <v>31</v>
      </c>
      <c r="AH135" s="97">
        <v>941</v>
      </c>
      <c r="AI135" s="97">
        <v>500</v>
      </c>
      <c r="AJ135" s="97" t="s">
        <v>369</v>
      </c>
      <c r="AK135" s="97">
        <v>20</v>
      </c>
      <c r="AL135" s="97">
        <v>0</v>
      </c>
      <c r="AM135" s="97">
        <v>100</v>
      </c>
      <c r="AN135" s="97">
        <v>15</v>
      </c>
      <c r="AO135" s="97">
        <v>12</v>
      </c>
      <c r="AP135" s="99">
        <v>0</v>
      </c>
      <c r="AQ135" s="97">
        <v>18</v>
      </c>
      <c r="AR135" s="61">
        <v>28</v>
      </c>
      <c r="AS135" s="60">
        <v>13</v>
      </c>
      <c r="AT135" s="60">
        <v>40</v>
      </c>
      <c r="AU135" s="60">
        <v>4</v>
      </c>
      <c r="AV135" s="60">
        <v>4</v>
      </c>
      <c r="AW135" s="60">
        <v>4</v>
      </c>
      <c r="AX135" s="64">
        <v>0</v>
      </c>
      <c r="AY135" s="60">
        <v>15</v>
      </c>
      <c r="AZ135" s="61">
        <v>15</v>
      </c>
      <c r="BA135" s="60">
        <v>48</v>
      </c>
      <c r="BB135" s="60">
        <v>2</v>
      </c>
      <c r="BC135" s="60" t="e">
        <f>VLOOKUP($B$9,#REF!,2,TRUE)</f>
        <v>#REF!</v>
      </c>
      <c r="BD135" s="60" t="s">
        <v>31</v>
      </c>
      <c r="BE135" s="60"/>
      <c r="BG135" s="48"/>
      <c r="BH135" s="48"/>
      <c r="BI135" s="48"/>
      <c r="BJ135" s="48">
        <v>8</v>
      </c>
      <c r="BK135" s="73">
        <v>8</v>
      </c>
      <c r="BL135" s="48"/>
    </row>
    <row r="136" spans="1:64" s="45" customFormat="1" ht="15.75">
      <c r="A136" s="95">
        <v>80</v>
      </c>
      <c r="B136" s="96" t="s">
        <v>561</v>
      </c>
      <c r="C136" s="97" t="s">
        <v>562</v>
      </c>
      <c r="D136" s="97" t="s">
        <v>563</v>
      </c>
      <c r="E136" s="97" t="s">
        <v>564</v>
      </c>
      <c r="F136" s="97" t="s">
        <v>137</v>
      </c>
      <c r="G136" s="96" t="s">
        <v>565</v>
      </c>
      <c r="H136" s="96" t="s">
        <v>123</v>
      </c>
      <c r="I136" s="96" t="s">
        <v>326</v>
      </c>
      <c r="J136" s="96" t="s">
        <v>566</v>
      </c>
      <c r="K136" s="98" t="s">
        <v>567</v>
      </c>
      <c r="L136" s="97">
        <v>866</v>
      </c>
      <c r="M136" s="96" t="s">
        <v>154</v>
      </c>
      <c r="N136" s="96"/>
      <c r="O136" s="97" t="s">
        <v>128</v>
      </c>
      <c r="P136" s="97" t="s">
        <v>31</v>
      </c>
      <c r="Q136" s="97" t="s">
        <v>31</v>
      </c>
      <c r="R136" s="97" t="s">
        <v>31</v>
      </c>
      <c r="S136" s="97" t="s">
        <v>177</v>
      </c>
      <c r="T136" s="97">
        <v>3</v>
      </c>
      <c r="U136" s="97">
        <v>10</v>
      </c>
      <c r="V136" s="97">
        <v>0</v>
      </c>
      <c r="W136" s="97">
        <v>2</v>
      </c>
      <c r="X136" s="97" t="s">
        <v>168</v>
      </c>
      <c r="Y136" s="97" t="s">
        <v>168</v>
      </c>
      <c r="Z136" s="97" t="e">
        <v>#N/A</v>
      </c>
      <c r="AA136" s="97" t="e">
        <v>#N/A</v>
      </c>
      <c r="AB136" s="97"/>
      <c r="AC136" s="97" t="s">
        <v>157</v>
      </c>
      <c r="AD136" s="97" t="s">
        <v>132</v>
      </c>
      <c r="AE136" s="97" t="s">
        <v>133</v>
      </c>
      <c r="AF136" s="97" t="s">
        <v>329</v>
      </c>
      <c r="AG136" s="97" t="s">
        <v>31</v>
      </c>
      <c r="AH136" s="97">
        <v>941</v>
      </c>
      <c r="AI136" s="97">
        <v>500</v>
      </c>
      <c r="AJ136" s="97" t="s">
        <v>369</v>
      </c>
      <c r="AK136" s="97">
        <v>20</v>
      </c>
      <c r="AL136" s="97">
        <v>0</v>
      </c>
      <c r="AM136" s="97">
        <v>100</v>
      </c>
      <c r="AN136" s="97">
        <v>15</v>
      </c>
      <c r="AO136" s="97">
        <v>12</v>
      </c>
      <c r="AP136" s="97">
        <v>0</v>
      </c>
      <c r="AQ136" s="97">
        <v>18</v>
      </c>
      <c r="AR136" s="63">
        <v>28</v>
      </c>
      <c r="AS136" s="62">
        <v>13</v>
      </c>
      <c r="AT136" s="62">
        <v>40</v>
      </c>
      <c r="AU136" s="62">
        <v>4</v>
      </c>
      <c r="AV136" s="62">
        <v>4</v>
      </c>
      <c r="AW136" s="62">
        <v>4</v>
      </c>
      <c r="AX136" s="62">
        <v>0</v>
      </c>
      <c r="AY136" s="62">
        <v>15</v>
      </c>
      <c r="AZ136" s="63">
        <v>15</v>
      </c>
      <c r="BA136" s="62">
        <v>48</v>
      </c>
      <c r="BB136" s="62">
        <v>2</v>
      </c>
      <c r="BC136" s="62" t="e">
        <f>VLOOKUP($B$9,#REF!,2,TRUE)</f>
        <v>#REF!</v>
      </c>
      <c r="BD136" s="62" t="s">
        <v>31</v>
      </c>
      <c r="BE136" s="62"/>
      <c r="BG136" s="48"/>
      <c r="BH136" s="48"/>
      <c r="BI136" s="48"/>
      <c r="BJ136" s="48">
        <v>8</v>
      </c>
      <c r="BK136" s="73">
        <v>8</v>
      </c>
      <c r="BL136" s="48"/>
    </row>
    <row r="137" spans="1:64" s="45" customFormat="1" ht="15.75">
      <c r="A137" s="95">
        <v>75</v>
      </c>
      <c r="B137" s="96" t="s">
        <v>589</v>
      </c>
      <c r="C137" s="97" t="s">
        <v>590</v>
      </c>
      <c r="D137" s="97" t="s">
        <v>591</v>
      </c>
      <c r="E137" s="97" t="s">
        <v>592</v>
      </c>
      <c r="F137" s="97" t="s">
        <v>593</v>
      </c>
      <c r="G137" s="96" t="s">
        <v>594</v>
      </c>
      <c r="H137" s="96" t="s">
        <v>123</v>
      </c>
      <c r="I137" s="96" t="s">
        <v>151</v>
      </c>
      <c r="J137" s="96" t="s">
        <v>595</v>
      </c>
      <c r="K137" s="98" t="s">
        <v>500</v>
      </c>
      <c r="L137" s="97">
        <v>700</v>
      </c>
      <c r="M137" s="96" t="s">
        <v>154</v>
      </c>
      <c r="N137" s="96"/>
      <c r="O137" s="97" t="s">
        <v>128</v>
      </c>
      <c r="P137" s="97" t="s">
        <v>31</v>
      </c>
      <c r="Q137" s="97" t="s">
        <v>31</v>
      </c>
      <c r="R137" s="97" t="s">
        <v>31</v>
      </c>
      <c r="S137" s="97" t="s">
        <v>177</v>
      </c>
      <c r="T137" s="97">
        <v>3</v>
      </c>
      <c r="U137" s="97">
        <v>10</v>
      </c>
      <c r="V137" s="97">
        <v>0</v>
      </c>
      <c r="W137" s="97">
        <v>2</v>
      </c>
      <c r="X137" s="97" t="s">
        <v>168</v>
      </c>
      <c r="Y137" s="97" t="s">
        <v>168</v>
      </c>
      <c r="Z137" s="97" t="e">
        <v>#N/A</v>
      </c>
      <c r="AA137" s="97" t="e">
        <v>#N/A</v>
      </c>
      <c r="AB137" s="97"/>
      <c r="AC137" s="97" t="s">
        <v>157</v>
      </c>
      <c r="AD137" s="97" t="s">
        <v>132</v>
      </c>
      <c r="AE137" s="97" t="s">
        <v>169</v>
      </c>
      <c r="AF137" s="97" t="s">
        <v>329</v>
      </c>
      <c r="AG137" s="97" t="s">
        <v>31</v>
      </c>
      <c r="AH137" s="97">
        <v>941</v>
      </c>
      <c r="AI137" s="97">
        <v>500</v>
      </c>
      <c r="AJ137" s="97" t="s">
        <v>369</v>
      </c>
      <c r="AK137" s="97">
        <v>20</v>
      </c>
      <c r="AL137" s="97">
        <v>0</v>
      </c>
      <c r="AM137" s="97">
        <v>100</v>
      </c>
      <c r="AN137" s="97">
        <v>15</v>
      </c>
      <c r="AO137" s="97">
        <v>12</v>
      </c>
      <c r="AP137" s="99">
        <v>0</v>
      </c>
      <c r="AQ137" s="97">
        <v>18</v>
      </c>
      <c r="AR137" s="63">
        <v>28</v>
      </c>
      <c r="AS137" s="62">
        <v>13</v>
      </c>
      <c r="AT137" s="62">
        <v>40</v>
      </c>
      <c r="AU137" s="62">
        <v>4</v>
      </c>
      <c r="AV137" s="62">
        <v>4</v>
      </c>
      <c r="AW137" s="62">
        <v>4</v>
      </c>
      <c r="AX137" s="58">
        <v>0</v>
      </c>
      <c r="AY137" s="62">
        <v>15</v>
      </c>
      <c r="AZ137" s="63">
        <v>15</v>
      </c>
      <c r="BA137" s="62">
        <v>48</v>
      </c>
      <c r="BB137" s="62">
        <v>2</v>
      </c>
      <c r="BC137" s="62" t="e">
        <f>VLOOKUP($B$9,#REF!,2,TRUE)</f>
        <v>#REF!</v>
      </c>
      <c r="BD137" s="62" t="s">
        <v>31</v>
      </c>
      <c r="BE137" s="62"/>
      <c r="BG137" s="48"/>
      <c r="BH137" s="48"/>
      <c r="BI137" s="48"/>
      <c r="BJ137" s="48">
        <v>8</v>
      </c>
      <c r="BK137" s="73">
        <v>8</v>
      </c>
      <c r="BL137" s="48"/>
    </row>
    <row r="138" spans="1:64" s="45" customFormat="1" ht="15.75">
      <c r="A138" s="95">
        <v>407</v>
      </c>
      <c r="B138" s="96" t="s">
        <v>612</v>
      </c>
      <c r="C138" s="97" t="s">
        <v>613</v>
      </c>
      <c r="D138" s="97" t="s">
        <v>614</v>
      </c>
      <c r="E138" s="97" t="s">
        <v>615</v>
      </c>
      <c r="F138" s="97" t="s">
        <v>616</v>
      </c>
      <c r="G138" s="96" t="s">
        <v>617</v>
      </c>
      <c r="H138" s="96" t="s">
        <v>123</v>
      </c>
      <c r="I138" s="96" t="s">
        <v>151</v>
      </c>
      <c r="J138" s="96" t="s">
        <v>618</v>
      </c>
      <c r="K138" s="98" t="s">
        <v>619</v>
      </c>
      <c r="L138" s="97">
        <v>767</v>
      </c>
      <c r="M138" s="96" t="s">
        <v>154</v>
      </c>
      <c r="N138" s="96"/>
      <c r="O138" s="97" t="s">
        <v>128</v>
      </c>
      <c r="P138" s="97" t="s">
        <v>31</v>
      </c>
      <c r="Q138" s="97" t="s">
        <v>31</v>
      </c>
      <c r="R138" s="97" t="s">
        <v>31</v>
      </c>
      <c r="S138" s="97" t="s">
        <v>177</v>
      </c>
      <c r="T138" s="97">
        <v>3</v>
      </c>
      <c r="U138" s="97">
        <v>10</v>
      </c>
      <c r="V138" s="97">
        <v>0</v>
      </c>
      <c r="W138" s="97">
        <v>1</v>
      </c>
      <c r="X138" s="97" t="s">
        <v>168</v>
      </c>
      <c r="Y138" s="97" t="e">
        <v>#N/A</v>
      </c>
      <c r="Z138" s="97" t="e">
        <v>#N/A</v>
      </c>
      <c r="AA138" s="97" t="e">
        <v>#N/A</v>
      </c>
      <c r="AB138" s="97"/>
      <c r="AC138" s="97" t="s">
        <v>157</v>
      </c>
      <c r="AD138" s="97" t="s">
        <v>132</v>
      </c>
      <c r="AE138" s="97" t="s">
        <v>133</v>
      </c>
      <c r="AF138" s="97" t="s">
        <v>329</v>
      </c>
      <c r="AG138" s="97" t="s">
        <v>31</v>
      </c>
      <c r="AH138" s="97">
        <v>941</v>
      </c>
      <c r="AI138" s="97">
        <v>700</v>
      </c>
      <c r="AJ138" s="97">
        <v>900</v>
      </c>
      <c r="AK138" s="97">
        <v>20</v>
      </c>
      <c r="AL138" s="97">
        <v>0</v>
      </c>
      <c r="AM138" s="97">
        <v>100</v>
      </c>
      <c r="AN138" s="97">
        <v>15</v>
      </c>
      <c r="AO138" s="97">
        <v>12</v>
      </c>
      <c r="AP138" s="97">
        <v>0</v>
      </c>
      <c r="AQ138" s="97">
        <v>18</v>
      </c>
      <c r="AR138" s="61">
        <v>28</v>
      </c>
      <c r="AS138" s="60">
        <v>13</v>
      </c>
      <c r="AT138" s="60">
        <v>40</v>
      </c>
      <c r="AU138" s="60">
        <v>4</v>
      </c>
      <c r="AV138" s="60">
        <v>4</v>
      </c>
      <c r="AW138" s="60">
        <v>4</v>
      </c>
      <c r="AX138" s="60">
        <v>0</v>
      </c>
      <c r="AY138" s="60">
        <v>15</v>
      </c>
      <c r="AZ138" s="61">
        <v>15</v>
      </c>
      <c r="BA138" s="60">
        <v>48</v>
      </c>
      <c r="BB138" s="60">
        <v>2</v>
      </c>
      <c r="BC138" s="60" t="e">
        <f>VLOOKUP($B$9,#REF!,2,TRUE)</f>
        <v>#REF!</v>
      </c>
      <c r="BD138" s="60" t="s">
        <v>31</v>
      </c>
      <c r="BE138" s="60"/>
      <c r="BG138" s="48"/>
      <c r="BH138" s="48"/>
      <c r="BI138" s="48"/>
      <c r="BJ138" s="48">
        <v>8</v>
      </c>
      <c r="BK138" s="73">
        <v>8</v>
      </c>
      <c r="BL138" s="48"/>
    </row>
    <row r="139" spans="1:64" s="45" customFormat="1" ht="15.75">
      <c r="A139" s="95">
        <v>447</v>
      </c>
      <c r="B139" s="96" t="s">
        <v>620</v>
      </c>
      <c r="C139" s="97" t="s">
        <v>621</v>
      </c>
      <c r="D139" s="97" t="s">
        <v>622</v>
      </c>
      <c r="E139" s="97" t="s">
        <v>623</v>
      </c>
      <c r="F139" s="97" t="s">
        <v>399</v>
      </c>
      <c r="G139" s="96" t="s">
        <v>624</v>
      </c>
      <c r="H139" s="96" t="s">
        <v>123</v>
      </c>
      <c r="I139" s="96" t="s">
        <v>401</v>
      </c>
      <c r="J139" s="96" t="s">
        <v>625</v>
      </c>
      <c r="K139" s="98" t="s">
        <v>403</v>
      </c>
      <c r="L139" s="97">
        <v>535</v>
      </c>
      <c r="M139" s="96" t="s">
        <v>154</v>
      </c>
      <c r="N139" s="96"/>
      <c r="O139" s="97" t="s">
        <v>155</v>
      </c>
      <c r="P139" s="97" t="s">
        <v>28</v>
      </c>
      <c r="Q139" s="97" t="s">
        <v>31</v>
      </c>
      <c r="R139" s="97" t="s">
        <v>31</v>
      </c>
      <c r="S139" s="97" t="s">
        <v>238</v>
      </c>
      <c r="T139" s="97">
        <v>3</v>
      </c>
      <c r="U139" s="97">
        <v>10</v>
      </c>
      <c r="V139" s="97">
        <v>0</v>
      </c>
      <c r="W139" s="97">
        <v>2</v>
      </c>
      <c r="X139" s="97" t="s">
        <v>168</v>
      </c>
      <c r="Y139" s="97" t="s">
        <v>168</v>
      </c>
      <c r="Z139" s="97" t="e">
        <v>#N/A</v>
      </c>
      <c r="AA139" s="97" t="e">
        <v>#N/A</v>
      </c>
      <c r="AB139" s="97"/>
      <c r="AC139" s="97" t="s">
        <v>157</v>
      </c>
      <c r="AD139" s="97" t="s">
        <v>132</v>
      </c>
      <c r="AE139" s="97" t="s">
        <v>133</v>
      </c>
      <c r="AF139" s="97" t="s">
        <v>134</v>
      </c>
      <c r="AG139" s="97" t="s">
        <v>31</v>
      </c>
      <c r="AH139" s="97">
        <v>941</v>
      </c>
      <c r="AI139" s="97">
        <v>700</v>
      </c>
      <c r="AJ139" s="97">
        <v>900</v>
      </c>
      <c r="AK139" s="97">
        <v>20</v>
      </c>
      <c r="AL139" s="97">
        <v>0</v>
      </c>
      <c r="AM139" s="97">
        <v>100</v>
      </c>
      <c r="AN139" s="97">
        <v>15</v>
      </c>
      <c r="AO139" s="97">
        <v>12</v>
      </c>
      <c r="AP139" s="99">
        <v>0</v>
      </c>
      <c r="AQ139" s="97">
        <v>18</v>
      </c>
      <c r="AR139" s="63">
        <v>28</v>
      </c>
      <c r="AS139" s="62">
        <v>13</v>
      </c>
      <c r="AT139" s="62">
        <v>40</v>
      </c>
      <c r="AU139" s="62">
        <v>4</v>
      </c>
      <c r="AV139" s="62">
        <v>4</v>
      </c>
      <c r="AW139" s="62">
        <v>4</v>
      </c>
      <c r="AX139" s="58">
        <v>0</v>
      </c>
      <c r="AY139" s="62">
        <v>15</v>
      </c>
      <c r="AZ139" s="63">
        <v>15</v>
      </c>
      <c r="BA139" s="62">
        <v>48</v>
      </c>
      <c r="BB139" s="62">
        <v>2</v>
      </c>
      <c r="BC139" s="62" t="e">
        <f>VLOOKUP($B$9,#REF!,2,TRUE)</f>
        <v>#REF!</v>
      </c>
      <c r="BD139" s="62" t="s">
        <v>31</v>
      </c>
      <c r="BE139" s="62"/>
      <c r="BG139" s="48"/>
      <c r="BH139" s="48"/>
      <c r="BI139" s="48"/>
      <c r="BJ139" s="48">
        <v>8</v>
      </c>
      <c r="BK139" s="73">
        <v>8</v>
      </c>
      <c r="BL139" s="48"/>
    </row>
    <row r="140" spans="1:64" s="45" customFormat="1" ht="15.75">
      <c r="A140" s="95">
        <v>462</v>
      </c>
      <c r="B140" s="96" t="s">
        <v>639</v>
      </c>
      <c r="C140" s="97" t="s">
        <v>640</v>
      </c>
      <c r="D140" s="97" t="s">
        <v>641</v>
      </c>
      <c r="E140" s="97" t="s">
        <v>642</v>
      </c>
      <c r="F140" s="97" t="s">
        <v>280</v>
      </c>
      <c r="G140" s="96" t="s">
        <v>643</v>
      </c>
      <c r="H140" s="96" t="s">
        <v>123</v>
      </c>
      <c r="I140" s="96" t="s">
        <v>151</v>
      </c>
      <c r="J140" s="96" t="s">
        <v>644</v>
      </c>
      <c r="K140" s="98" t="s">
        <v>355</v>
      </c>
      <c r="L140" s="97">
        <v>535</v>
      </c>
      <c r="M140" s="96" t="s">
        <v>154</v>
      </c>
      <c r="N140" s="96"/>
      <c r="O140" s="97" t="s">
        <v>155</v>
      </c>
      <c r="P140" s="97" t="s">
        <v>28</v>
      </c>
      <c r="Q140" s="97" t="s">
        <v>31</v>
      </c>
      <c r="R140" s="97" t="s">
        <v>31</v>
      </c>
      <c r="S140" s="97" t="s">
        <v>238</v>
      </c>
      <c r="T140" s="97">
        <v>3</v>
      </c>
      <c r="U140" s="97">
        <v>10</v>
      </c>
      <c r="V140" s="97">
        <v>0</v>
      </c>
      <c r="W140" s="97">
        <v>2</v>
      </c>
      <c r="X140" s="97" t="s">
        <v>168</v>
      </c>
      <c r="Y140" s="97" t="s">
        <v>168</v>
      </c>
      <c r="Z140" s="97" t="e">
        <v>#N/A</v>
      </c>
      <c r="AA140" s="97" t="e">
        <v>#N/A</v>
      </c>
      <c r="AB140" s="97"/>
      <c r="AC140" s="97" t="s">
        <v>157</v>
      </c>
      <c r="AD140" s="97" t="s">
        <v>132</v>
      </c>
      <c r="AE140" s="97"/>
      <c r="AF140" s="97" t="s">
        <v>134</v>
      </c>
      <c r="AG140" s="97" t="s">
        <v>31</v>
      </c>
      <c r="AH140" s="97">
        <v>941</v>
      </c>
      <c r="AI140" s="97">
        <v>700</v>
      </c>
      <c r="AJ140" s="97">
        <v>900</v>
      </c>
      <c r="AK140" s="97">
        <v>20</v>
      </c>
      <c r="AL140" s="97">
        <v>0</v>
      </c>
      <c r="AM140" s="97">
        <v>100</v>
      </c>
      <c r="AN140" s="97">
        <v>15</v>
      </c>
      <c r="AO140" s="97">
        <v>12</v>
      </c>
      <c r="AP140" s="97">
        <v>0</v>
      </c>
      <c r="AQ140" s="97">
        <v>18</v>
      </c>
      <c r="AR140" s="61">
        <v>28</v>
      </c>
      <c r="AS140" s="60">
        <v>13</v>
      </c>
      <c r="AT140" s="60">
        <v>40</v>
      </c>
      <c r="AU140" s="60">
        <v>4</v>
      </c>
      <c r="AV140" s="60">
        <v>4</v>
      </c>
      <c r="AW140" s="60">
        <v>4</v>
      </c>
      <c r="AX140" s="60">
        <v>0</v>
      </c>
      <c r="AY140" s="60">
        <v>15</v>
      </c>
      <c r="AZ140" s="61">
        <v>15</v>
      </c>
      <c r="BA140" s="60">
        <v>48</v>
      </c>
      <c r="BB140" s="60">
        <v>2</v>
      </c>
      <c r="BC140" s="60" t="e">
        <f>VLOOKUP($B$9,#REF!,2,TRUE)</f>
        <v>#REF!</v>
      </c>
      <c r="BD140" s="60" t="s">
        <v>31</v>
      </c>
      <c r="BE140" s="60"/>
      <c r="BG140" s="48"/>
      <c r="BH140" s="48"/>
      <c r="BI140" s="48"/>
      <c r="BJ140" s="48">
        <v>8</v>
      </c>
      <c r="BK140" s="73">
        <v>8</v>
      </c>
      <c r="BL140" s="48"/>
    </row>
    <row r="141" spans="1:64" s="45" customFormat="1" ht="15.75">
      <c r="A141" s="95">
        <v>20</v>
      </c>
      <c r="B141" s="96" t="s">
        <v>681</v>
      </c>
      <c r="C141" s="97" t="s">
        <v>682</v>
      </c>
      <c r="D141" s="97" t="s">
        <v>148</v>
      </c>
      <c r="E141" s="97" t="s">
        <v>683</v>
      </c>
      <c r="F141" s="97" t="s">
        <v>512</v>
      </c>
      <c r="G141" s="96" t="s">
        <v>684</v>
      </c>
      <c r="H141" s="96" t="s">
        <v>123</v>
      </c>
      <c r="I141" s="96" t="s">
        <v>124</v>
      </c>
      <c r="J141" s="96" t="s">
        <v>685</v>
      </c>
      <c r="K141" s="98" t="s">
        <v>126</v>
      </c>
      <c r="L141" s="97" t="s">
        <v>686</v>
      </c>
      <c r="M141" s="96" t="s">
        <v>154</v>
      </c>
      <c r="N141" s="96"/>
      <c r="O141" s="97" t="s">
        <v>128</v>
      </c>
      <c r="P141" s="97" t="s">
        <v>31</v>
      </c>
      <c r="Q141" s="97" t="s">
        <v>31</v>
      </c>
      <c r="R141" s="97" t="s">
        <v>31</v>
      </c>
      <c r="S141" s="97" t="s">
        <v>167</v>
      </c>
      <c r="T141" s="97">
        <v>2</v>
      </c>
      <c r="U141" s="97">
        <v>10</v>
      </c>
      <c r="V141" s="97">
        <v>0</v>
      </c>
      <c r="W141" s="97">
        <v>2</v>
      </c>
      <c r="X141" s="97" t="s">
        <v>168</v>
      </c>
      <c r="Y141" s="97" t="s">
        <v>168</v>
      </c>
      <c r="Z141" s="97" t="e">
        <v>#N/A</v>
      </c>
      <c r="AA141" s="97" t="e">
        <v>#N/A</v>
      </c>
      <c r="AB141" s="97"/>
      <c r="AC141" s="97" t="s">
        <v>157</v>
      </c>
      <c r="AD141" s="97" t="s">
        <v>132</v>
      </c>
      <c r="AE141" s="97" t="s">
        <v>133</v>
      </c>
      <c r="AF141" s="97" t="s">
        <v>329</v>
      </c>
      <c r="AG141" s="97" t="s">
        <v>31</v>
      </c>
      <c r="AH141" s="97">
        <v>894</v>
      </c>
      <c r="AI141" s="97"/>
      <c r="AJ141" s="97" t="s">
        <v>135</v>
      </c>
      <c r="AK141" s="97">
        <v>20</v>
      </c>
      <c r="AL141" s="97">
        <v>0</v>
      </c>
      <c r="AM141" s="97">
        <v>100</v>
      </c>
      <c r="AN141" s="97">
        <v>10</v>
      </c>
      <c r="AO141" s="97">
        <v>8</v>
      </c>
      <c r="AP141" s="99">
        <v>0</v>
      </c>
      <c r="AQ141" s="97">
        <v>18</v>
      </c>
      <c r="AR141" s="61">
        <v>27</v>
      </c>
      <c r="AS141" s="60">
        <v>12</v>
      </c>
      <c r="AT141" s="60">
        <v>40</v>
      </c>
      <c r="AU141" s="60">
        <v>4</v>
      </c>
      <c r="AV141" s="60">
        <v>4</v>
      </c>
      <c r="AW141" s="60">
        <v>4</v>
      </c>
      <c r="AX141" s="64">
        <v>0</v>
      </c>
      <c r="AY141" s="60">
        <v>15</v>
      </c>
      <c r="AZ141" s="61">
        <v>15</v>
      </c>
      <c r="BA141" s="60">
        <v>48</v>
      </c>
      <c r="BB141" s="60">
        <v>2</v>
      </c>
      <c r="BC141" s="60" t="e">
        <f>VLOOKUP($B$9,#REF!,2,TRUE)</f>
        <v>#REF!</v>
      </c>
      <c r="BD141" s="60" t="s">
        <v>31</v>
      </c>
      <c r="BE141" s="60"/>
      <c r="BG141" s="48"/>
      <c r="BH141" s="48"/>
      <c r="BI141" s="48"/>
      <c r="BJ141" s="48">
        <v>8</v>
      </c>
      <c r="BK141" s="73">
        <v>8</v>
      </c>
      <c r="BL141" s="48"/>
    </row>
    <row r="142" spans="1:64" s="45" customFormat="1" ht="15.75">
      <c r="A142" s="95">
        <v>423</v>
      </c>
      <c r="B142" s="96" t="s">
        <v>687</v>
      </c>
      <c r="C142" s="97" t="s">
        <v>688</v>
      </c>
      <c r="D142" s="97" t="s">
        <v>689</v>
      </c>
      <c r="E142" s="97" t="s">
        <v>690</v>
      </c>
      <c r="F142" s="97" t="s">
        <v>691</v>
      </c>
      <c r="G142" s="96" t="s">
        <v>692</v>
      </c>
      <c r="H142" s="96" t="s">
        <v>123</v>
      </c>
      <c r="I142" s="96" t="s">
        <v>151</v>
      </c>
      <c r="J142" s="96" t="s">
        <v>693</v>
      </c>
      <c r="K142" s="98" t="s">
        <v>694</v>
      </c>
      <c r="L142" s="97">
        <v>945</v>
      </c>
      <c r="M142" s="96" t="s">
        <v>154</v>
      </c>
      <c r="N142" s="96"/>
      <c r="O142" s="97" t="s">
        <v>128</v>
      </c>
      <c r="P142" s="97" t="s">
        <v>31</v>
      </c>
      <c r="Q142" s="97" t="s">
        <v>31</v>
      </c>
      <c r="R142" s="97" t="s">
        <v>31</v>
      </c>
      <c r="S142" s="97" t="s">
        <v>177</v>
      </c>
      <c r="T142" s="97">
        <v>3</v>
      </c>
      <c r="U142" s="97">
        <v>10</v>
      </c>
      <c r="V142" s="97">
        <v>0</v>
      </c>
      <c r="W142" s="97">
        <v>2</v>
      </c>
      <c r="X142" s="97" t="s">
        <v>168</v>
      </c>
      <c r="Y142" s="97" t="s">
        <v>168</v>
      </c>
      <c r="Z142" s="97" t="e">
        <v>#N/A</v>
      </c>
      <c r="AA142" s="97" t="e">
        <v>#N/A</v>
      </c>
      <c r="AB142" s="97"/>
      <c r="AC142" s="97" t="s">
        <v>157</v>
      </c>
      <c r="AD142" s="97" t="s">
        <v>132</v>
      </c>
      <c r="AE142" s="97" t="s">
        <v>169</v>
      </c>
      <c r="AF142" s="97" t="s">
        <v>134</v>
      </c>
      <c r="AG142" s="97" t="s">
        <v>31</v>
      </c>
      <c r="AH142" s="97">
        <v>941</v>
      </c>
      <c r="AI142" s="97">
        <v>700</v>
      </c>
      <c r="AJ142" s="97">
        <v>900</v>
      </c>
      <c r="AK142" s="97">
        <v>20</v>
      </c>
      <c r="AL142" s="97">
        <v>0</v>
      </c>
      <c r="AM142" s="97">
        <v>100</v>
      </c>
      <c r="AN142" s="97">
        <v>15</v>
      </c>
      <c r="AO142" s="97">
        <v>12</v>
      </c>
      <c r="AP142" s="97">
        <v>0</v>
      </c>
      <c r="AQ142" s="97">
        <v>18</v>
      </c>
      <c r="AR142" s="63">
        <v>28</v>
      </c>
      <c r="AS142" s="62">
        <v>13</v>
      </c>
      <c r="AT142" s="62">
        <v>40</v>
      </c>
      <c r="AU142" s="62">
        <v>4</v>
      </c>
      <c r="AV142" s="62">
        <v>4</v>
      </c>
      <c r="AW142" s="62">
        <v>4</v>
      </c>
      <c r="AX142" s="62">
        <v>0</v>
      </c>
      <c r="AY142" s="62">
        <v>15</v>
      </c>
      <c r="AZ142" s="63">
        <v>15</v>
      </c>
      <c r="BA142" s="62">
        <v>48</v>
      </c>
      <c r="BB142" s="62">
        <v>2</v>
      </c>
      <c r="BC142" s="62" t="e">
        <f>VLOOKUP($B$9,#REF!,2,TRUE)</f>
        <v>#REF!</v>
      </c>
      <c r="BD142" s="62" t="s">
        <v>31</v>
      </c>
      <c r="BE142" s="62"/>
      <c r="BG142" s="48"/>
      <c r="BH142" s="48"/>
      <c r="BI142" s="48"/>
      <c r="BJ142" s="48">
        <v>8</v>
      </c>
      <c r="BK142" s="73">
        <v>8</v>
      </c>
      <c r="BL142" s="48"/>
    </row>
    <row r="143" spans="1:64" s="45" customFormat="1" ht="15.75">
      <c r="A143" s="95">
        <v>446</v>
      </c>
      <c r="B143" s="96" t="s">
        <v>735</v>
      </c>
      <c r="C143" s="97" t="s">
        <v>736</v>
      </c>
      <c r="D143" s="97" t="s">
        <v>737</v>
      </c>
      <c r="E143" s="97" t="s">
        <v>738</v>
      </c>
      <c r="F143" s="97" t="s">
        <v>399</v>
      </c>
      <c r="G143" s="96" t="s">
        <v>739</v>
      </c>
      <c r="H143" s="96" t="s">
        <v>123</v>
      </c>
      <c r="I143" s="96" t="s">
        <v>401</v>
      </c>
      <c r="J143" s="96" t="s">
        <v>740</v>
      </c>
      <c r="K143" s="98" t="s">
        <v>403</v>
      </c>
      <c r="L143" s="97">
        <v>535</v>
      </c>
      <c r="M143" s="96" t="s">
        <v>154</v>
      </c>
      <c r="N143" s="96"/>
      <c r="O143" s="97" t="s">
        <v>155</v>
      </c>
      <c r="P143" s="97" t="s">
        <v>28</v>
      </c>
      <c r="Q143" s="97" t="s">
        <v>31</v>
      </c>
      <c r="R143" s="97" t="s">
        <v>31</v>
      </c>
      <c r="S143" s="97" t="s">
        <v>238</v>
      </c>
      <c r="T143" s="97">
        <v>3</v>
      </c>
      <c r="U143" s="97">
        <v>10</v>
      </c>
      <c r="V143" s="97">
        <v>0</v>
      </c>
      <c r="W143" s="97">
        <v>2</v>
      </c>
      <c r="X143" s="97" t="s">
        <v>168</v>
      </c>
      <c r="Y143" s="97" t="s">
        <v>168</v>
      </c>
      <c r="Z143" s="97" t="e">
        <v>#N/A</v>
      </c>
      <c r="AA143" s="97" t="e">
        <v>#N/A</v>
      </c>
      <c r="AB143" s="97"/>
      <c r="AC143" s="97" t="s">
        <v>157</v>
      </c>
      <c r="AD143" s="97" t="s">
        <v>132</v>
      </c>
      <c r="AE143" s="97" t="s">
        <v>133</v>
      </c>
      <c r="AF143" s="97" t="s">
        <v>329</v>
      </c>
      <c r="AG143" s="97" t="s">
        <v>31</v>
      </c>
      <c r="AH143" s="97">
        <v>941</v>
      </c>
      <c r="AI143" s="97">
        <v>500</v>
      </c>
      <c r="AJ143" s="97" t="s">
        <v>369</v>
      </c>
      <c r="AK143" s="97">
        <v>20</v>
      </c>
      <c r="AL143" s="97">
        <v>0</v>
      </c>
      <c r="AM143" s="97">
        <v>100</v>
      </c>
      <c r="AN143" s="97">
        <v>15</v>
      </c>
      <c r="AO143" s="97">
        <v>12</v>
      </c>
      <c r="AP143" s="99">
        <v>0</v>
      </c>
      <c r="AQ143" s="97">
        <v>18</v>
      </c>
      <c r="AR143" s="61">
        <v>28</v>
      </c>
      <c r="AS143" s="60">
        <v>13</v>
      </c>
      <c r="AT143" s="60">
        <v>40</v>
      </c>
      <c r="AU143" s="60">
        <v>4</v>
      </c>
      <c r="AV143" s="60">
        <v>4</v>
      </c>
      <c r="AW143" s="60">
        <v>4</v>
      </c>
      <c r="AX143" s="64">
        <v>0</v>
      </c>
      <c r="AY143" s="60">
        <v>15</v>
      </c>
      <c r="AZ143" s="61">
        <v>15</v>
      </c>
      <c r="BA143" s="60">
        <v>48</v>
      </c>
      <c r="BB143" s="60">
        <v>2</v>
      </c>
      <c r="BC143" s="60" t="e">
        <f>VLOOKUP($B$9,#REF!,2,TRUE)</f>
        <v>#REF!</v>
      </c>
      <c r="BD143" s="60" t="s">
        <v>31</v>
      </c>
      <c r="BE143" s="60"/>
      <c r="BG143" s="48"/>
      <c r="BH143" s="48"/>
      <c r="BI143" s="48"/>
      <c r="BJ143" s="48">
        <v>8</v>
      </c>
      <c r="BK143" s="73">
        <v>8</v>
      </c>
      <c r="BL143" s="48"/>
    </row>
    <row r="144" spans="1:64" s="45" customFormat="1" ht="15.75">
      <c r="A144" s="95">
        <v>454</v>
      </c>
      <c r="B144" s="96" t="s">
        <v>741</v>
      </c>
      <c r="C144" s="97" t="s">
        <v>742</v>
      </c>
      <c r="D144" s="97" t="s">
        <v>743</v>
      </c>
      <c r="E144" s="97" t="s">
        <v>744</v>
      </c>
      <c r="F144" s="97" t="s">
        <v>607</v>
      </c>
      <c r="G144" s="96" t="s">
        <v>745</v>
      </c>
      <c r="H144" s="96" t="s">
        <v>123</v>
      </c>
      <c r="I144" s="96" t="s">
        <v>124</v>
      </c>
      <c r="J144" s="96" t="s">
        <v>746</v>
      </c>
      <c r="K144" s="98" t="s">
        <v>610</v>
      </c>
      <c r="L144" s="97">
        <v>535</v>
      </c>
      <c r="M144" s="96" t="s">
        <v>154</v>
      </c>
      <c r="N144" s="96"/>
      <c r="O144" s="97" t="s">
        <v>155</v>
      </c>
      <c r="P144" s="97" t="s">
        <v>28</v>
      </c>
      <c r="Q144" s="97" t="s">
        <v>31</v>
      </c>
      <c r="R144" s="97" t="s">
        <v>31</v>
      </c>
      <c r="S144" s="97" t="s">
        <v>238</v>
      </c>
      <c r="T144" s="97">
        <v>3</v>
      </c>
      <c r="U144" s="97">
        <v>10</v>
      </c>
      <c r="V144" s="97">
        <v>0</v>
      </c>
      <c r="W144" s="97">
        <v>2</v>
      </c>
      <c r="X144" s="97" t="s">
        <v>168</v>
      </c>
      <c r="Y144" s="97" t="s">
        <v>168</v>
      </c>
      <c r="Z144" s="97" t="e">
        <v>#N/A</v>
      </c>
      <c r="AA144" s="97" t="e">
        <v>#N/A</v>
      </c>
      <c r="AB144" s="97"/>
      <c r="AC144" s="97" t="s">
        <v>157</v>
      </c>
      <c r="AD144" s="97" t="s">
        <v>132</v>
      </c>
      <c r="AE144" s="97" t="s">
        <v>133</v>
      </c>
      <c r="AF144" s="97" t="s">
        <v>134</v>
      </c>
      <c r="AG144" s="97" t="s">
        <v>31</v>
      </c>
      <c r="AH144" s="97">
        <v>941</v>
      </c>
      <c r="AI144" s="97">
        <v>700</v>
      </c>
      <c r="AJ144" s="97">
        <v>900</v>
      </c>
      <c r="AK144" s="97">
        <v>20</v>
      </c>
      <c r="AL144" s="97">
        <v>0</v>
      </c>
      <c r="AM144" s="97">
        <v>100</v>
      </c>
      <c r="AN144" s="97">
        <v>15</v>
      </c>
      <c r="AO144" s="97">
        <v>12</v>
      </c>
      <c r="AP144" s="97">
        <v>0</v>
      </c>
      <c r="AQ144" s="97">
        <v>18</v>
      </c>
      <c r="AR144" s="63">
        <v>28</v>
      </c>
      <c r="AS144" s="62">
        <v>13</v>
      </c>
      <c r="AT144" s="62">
        <v>40</v>
      </c>
      <c r="AU144" s="62">
        <v>4</v>
      </c>
      <c r="AV144" s="62">
        <v>4</v>
      </c>
      <c r="AW144" s="62">
        <v>4</v>
      </c>
      <c r="AX144" s="62">
        <v>0</v>
      </c>
      <c r="AY144" s="62">
        <v>15</v>
      </c>
      <c r="AZ144" s="63">
        <v>15</v>
      </c>
      <c r="BA144" s="62">
        <v>48</v>
      </c>
      <c r="BB144" s="62">
        <v>2</v>
      </c>
      <c r="BC144" s="62" t="e">
        <f>VLOOKUP($B$9,#REF!,2,TRUE)</f>
        <v>#REF!</v>
      </c>
      <c r="BD144" s="62" t="s">
        <v>31</v>
      </c>
      <c r="BE144" s="62"/>
      <c r="BG144" s="48"/>
      <c r="BH144" s="48"/>
      <c r="BI144" s="48"/>
      <c r="BJ144" s="48">
        <v>8</v>
      </c>
      <c r="BK144" s="73">
        <v>8</v>
      </c>
      <c r="BL144" s="48"/>
    </row>
    <row r="145" spans="1:64" s="45" customFormat="1" ht="15.75">
      <c r="A145" s="95">
        <v>403</v>
      </c>
      <c r="B145" s="96" t="s">
        <v>783</v>
      </c>
      <c r="C145" s="97" t="s">
        <v>784</v>
      </c>
      <c r="D145" s="97" t="s">
        <v>785</v>
      </c>
      <c r="E145" s="97" t="s">
        <v>786</v>
      </c>
      <c r="F145" s="97" t="s">
        <v>607</v>
      </c>
      <c r="G145" s="96" t="s">
        <v>787</v>
      </c>
      <c r="H145" s="96" t="s">
        <v>123</v>
      </c>
      <c r="I145" s="96" t="s">
        <v>124</v>
      </c>
      <c r="J145" s="96" t="s">
        <v>788</v>
      </c>
      <c r="K145" s="98" t="s">
        <v>610</v>
      </c>
      <c r="L145" s="97">
        <v>573</v>
      </c>
      <c r="M145" s="96" t="s">
        <v>154</v>
      </c>
      <c r="N145" s="96"/>
      <c r="O145" s="97" t="s">
        <v>284</v>
      </c>
      <c r="P145" s="97" t="s">
        <v>31</v>
      </c>
      <c r="Q145" s="97" t="s">
        <v>31</v>
      </c>
      <c r="R145" s="97" t="s">
        <v>31</v>
      </c>
      <c r="S145" s="97" t="s">
        <v>177</v>
      </c>
      <c r="T145" s="97">
        <v>3</v>
      </c>
      <c r="U145" s="97">
        <v>10</v>
      </c>
      <c r="V145" s="97">
        <v>0</v>
      </c>
      <c r="W145" s="97">
        <v>0</v>
      </c>
      <c r="X145" s="97" t="e">
        <v>#N/A</v>
      </c>
      <c r="Y145" s="97" t="e">
        <v>#N/A</v>
      </c>
      <c r="Z145" s="97" t="e">
        <v>#N/A</v>
      </c>
      <c r="AA145" s="97" t="e">
        <v>#N/A</v>
      </c>
      <c r="AB145" s="97"/>
      <c r="AC145" s="97" t="s">
        <v>157</v>
      </c>
      <c r="AD145" s="97" t="s">
        <v>132</v>
      </c>
      <c r="AE145" s="97" t="s">
        <v>133</v>
      </c>
      <c r="AF145" s="97" t="s">
        <v>134</v>
      </c>
      <c r="AG145" s="97" t="s">
        <v>31</v>
      </c>
      <c r="AH145" s="97">
        <v>941</v>
      </c>
      <c r="AI145" s="97">
        <v>700</v>
      </c>
      <c r="AJ145" s="97">
        <v>900</v>
      </c>
      <c r="AK145" s="97">
        <v>20</v>
      </c>
      <c r="AL145" s="97">
        <v>0</v>
      </c>
      <c r="AM145" s="97">
        <v>100</v>
      </c>
      <c r="AN145" s="97">
        <v>15</v>
      </c>
      <c r="AO145" s="97">
        <v>12</v>
      </c>
      <c r="AP145" s="99">
        <v>0</v>
      </c>
      <c r="AQ145" s="97">
        <v>18</v>
      </c>
      <c r="AR145" s="61">
        <v>28</v>
      </c>
      <c r="AS145" s="60">
        <v>13</v>
      </c>
      <c r="AT145" s="60">
        <v>40</v>
      </c>
      <c r="AU145" s="60">
        <v>4</v>
      </c>
      <c r="AV145" s="60">
        <v>4</v>
      </c>
      <c r="AW145" s="60">
        <v>4</v>
      </c>
      <c r="AX145" s="64">
        <v>0</v>
      </c>
      <c r="AY145" s="60">
        <v>15</v>
      </c>
      <c r="AZ145" s="61">
        <v>15</v>
      </c>
      <c r="BA145" s="60">
        <v>48</v>
      </c>
      <c r="BB145" s="60">
        <v>2</v>
      </c>
      <c r="BC145" s="60" t="e">
        <f>VLOOKUP($B$9,#REF!,2,TRUE)</f>
        <v>#REF!</v>
      </c>
      <c r="BD145" s="60" t="s">
        <v>31</v>
      </c>
      <c r="BE145" s="60"/>
      <c r="BG145" s="48"/>
      <c r="BH145" s="48"/>
      <c r="BI145" s="48"/>
      <c r="BJ145" s="48">
        <v>8</v>
      </c>
      <c r="BK145" s="73">
        <v>8</v>
      </c>
      <c r="BL145" s="48"/>
    </row>
    <row r="146" spans="1:64" s="45" customFormat="1" ht="15.75">
      <c r="A146" s="95">
        <v>417</v>
      </c>
      <c r="B146" s="96" t="s">
        <v>795</v>
      </c>
      <c r="C146" s="97" t="s">
        <v>796</v>
      </c>
      <c r="D146" s="97" t="s">
        <v>797</v>
      </c>
      <c r="E146" s="97" t="s">
        <v>798</v>
      </c>
      <c r="F146" s="97" t="s">
        <v>799</v>
      </c>
      <c r="G146" s="96" t="s">
        <v>800</v>
      </c>
      <c r="H146" s="96" t="s">
        <v>123</v>
      </c>
      <c r="I146" s="96" t="s">
        <v>124</v>
      </c>
      <c r="J146" s="96" t="s">
        <v>801</v>
      </c>
      <c r="K146" s="98" t="s">
        <v>679</v>
      </c>
      <c r="L146" s="97">
        <v>930</v>
      </c>
      <c r="M146" s="96" t="s">
        <v>154</v>
      </c>
      <c r="N146" s="96"/>
      <c r="O146" s="97" t="s">
        <v>128</v>
      </c>
      <c r="P146" s="97" t="s">
        <v>31</v>
      </c>
      <c r="Q146" s="97" t="s">
        <v>31</v>
      </c>
      <c r="R146" s="97" t="s">
        <v>31</v>
      </c>
      <c r="S146" s="97" t="s">
        <v>177</v>
      </c>
      <c r="T146" s="97">
        <v>3</v>
      </c>
      <c r="U146" s="97">
        <v>10</v>
      </c>
      <c r="V146" s="97">
        <v>0</v>
      </c>
      <c r="W146" s="97">
        <v>1</v>
      </c>
      <c r="X146" s="97" t="s">
        <v>168</v>
      </c>
      <c r="Y146" s="97" t="e">
        <v>#N/A</v>
      </c>
      <c r="Z146" s="97" t="e">
        <v>#N/A</v>
      </c>
      <c r="AA146" s="97" t="e">
        <v>#N/A</v>
      </c>
      <c r="AB146" s="97"/>
      <c r="AC146" s="97" t="s">
        <v>157</v>
      </c>
      <c r="AD146" s="97" t="s">
        <v>132</v>
      </c>
      <c r="AE146" s="97" t="s">
        <v>133</v>
      </c>
      <c r="AF146" s="97" t="s">
        <v>329</v>
      </c>
      <c r="AG146" s="97" t="s">
        <v>31</v>
      </c>
      <c r="AH146" s="97">
        <v>941</v>
      </c>
      <c r="AI146" s="97">
        <v>700</v>
      </c>
      <c r="AJ146" s="97">
        <v>900</v>
      </c>
      <c r="AK146" s="97">
        <v>20</v>
      </c>
      <c r="AL146" s="97">
        <v>0</v>
      </c>
      <c r="AM146" s="97">
        <v>100</v>
      </c>
      <c r="AN146" s="97">
        <v>15</v>
      </c>
      <c r="AO146" s="97">
        <v>12</v>
      </c>
      <c r="AP146" s="97">
        <v>0</v>
      </c>
      <c r="AQ146" s="97">
        <v>18</v>
      </c>
      <c r="AR146" s="61">
        <v>28</v>
      </c>
      <c r="AS146" s="60">
        <v>13</v>
      </c>
      <c r="AT146" s="60">
        <v>40</v>
      </c>
      <c r="AU146" s="60">
        <v>4</v>
      </c>
      <c r="AV146" s="60">
        <v>4</v>
      </c>
      <c r="AW146" s="60">
        <v>4</v>
      </c>
      <c r="AX146" s="60">
        <v>0</v>
      </c>
      <c r="AY146" s="60">
        <v>15</v>
      </c>
      <c r="AZ146" s="61">
        <v>15</v>
      </c>
      <c r="BA146" s="60">
        <v>48</v>
      </c>
      <c r="BB146" s="60">
        <v>2</v>
      </c>
      <c r="BC146" s="60" t="e">
        <f>VLOOKUP($B$9,#REF!,2,TRUE)</f>
        <v>#REF!</v>
      </c>
      <c r="BD146" s="60" t="s">
        <v>31</v>
      </c>
      <c r="BE146" s="60"/>
      <c r="BG146" s="48"/>
      <c r="BH146" s="48"/>
      <c r="BI146" s="48"/>
      <c r="BJ146" s="48">
        <v>8</v>
      </c>
      <c r="BK146" s="73">
        <v>8</v>
      </c>
      <c r="BL146" s="48"/>
    </row>
    <row r="147" spans="1:64" s="45" customFormat="1" ht="15.75">
      <c r="A147" s="95">
        <v>433</v>
      </c>
      <c r="B147" s="96" t="s">
        <v>809</v>
      </c>
      <c r="C147" s="97" t="s">
        <v>810</v>
      </c>
      <c r="D147" s="97" t="s">
        <v>811</v>
      </c>
      <c r="E147" s="97" t="s">
        <v>812</v>
      </c>
      <c r="F147" s="97" t="s">
        <v>399</v>
      </c>
      <c r="G147" s="96" t="s">
        <v>813</v>
      </c>
      <c r="H147" s="96" t="s">
        <v>123</v>
      </c>
      <c r="I147" s="96" t="s">
        <v>401</v>
      </c>
      <c r="J147" s="96" t="s">
        <v>814</v>
      </c>
      <c r="K147" s="98" t="s">
        <v>701</v>
      </c>
      <c r="L147" s="97">
        <v>456</v>
      </c>
      <c r="M147" s="96" t="s">
        <v>154</v>
      </c>
      <c r="N147" s="96"/>
      <c r="O147" s="97" t="s">
        <v>155</v>
      </c>
      <c r="P147" s="97" t="s">
        <v>28</v>
      </c>
      <c r="Q147" s="97" t="s">
        <v>31</v>
      </c>
      <c r="R147" s="97" t="s">
        <v>31</v>
      </c>
      <c r="S147" s="97" t="s">
        <v>177</v>
      </c>
      <c r="T147" s="97">
        <v>3</v>
      </c>
      <c r="U147" s="97">
        <v>10</v>
      </c>
      <c r="V147" s="97">
        <v>0</v>
      </c>
      <c r="W147" s="97">
        <v>2</v>
      </c>
      <c r="X147" s="97" t="s">
        <v>168</v>
      </c>
      <c r="Y147" s="97" t="s">
        <v>168</v>
      </c>
      <c r="Z147" s="97" t="e">
        <v>#N/A</v>
      </c>
      <c r="AA147" s="97" t="e">
        <v>#N/A</v>
      </c>
      <c r="AB147" s="97"/>
      <c r="AC147" s="97" t="s">
        <v>157</v>
      </c>
      <c r="AD147" s="97" t="s">
        <v>132</v>
      </c>
      <c r="AE147" s="97" t="s">
        <v>133</v>
      </c>
      <c r="AF147" s="97" t="s">
        <v>329</v>
      </c>
      <c r="AG147" s="97" t="s">
        <v>31</v>
      </c>
      <c r="AH147" s="97">
        <v>941</v>
      </c>
      <c r="AI147" s="97">
        <v>700</v>
      </c>
      <c r="AJ147" s="97">
        <v>900</v>
      </c>
      <c r="AK147" s="97">
        <v>20</v>
      </c>
      <c r="AL147" s="97">
        <v>0</v>
      </c>
      <c r="AM147" s="97">
        <v>100</v>
      </c>
      <c r="AN147" s="97">
        <v>15</v>
      </c>
      <c r="AO147" s="97">
        <v>12</v>
      </c>
      <c r="AP147" s="99">
        <v>0</v>
      </c>
      <c r="AQ147" s="97">
        <v>18</v>
      </c>
      <c r="AR147" s="61">
        <v>28</v>
      </c>
      <c r="AS147" s="60">
        <v>13</v>
      </c>
      <c r="AT147" s="60">
        <v>40</v>
      </c>
      <c r="AU147" s="60">
        <v>4</v>
      </c>
      <c r="AV147" s="60">
        <v>4</v>
      </c>
      <c r="AW147" s="60">
        <v>4</v>
      </c>
      <c r="AX147" s="64">
        <v>0</v>
      </c>
      <c r="AY147" s="60">
        <v>15</v>
      </c>
      <c r="AZ147" s="61">
        <v>15</v>
      </c>
      <c r="BA147" s="60">
        <v>48</v>
      </c>
      <c r="BB147" s="60">
        <v>2</v>
      </c>
      <c r="BC147" s="60" t="e">
        <f>VLOOKUP($B$9,#REF!,2,TRUE)</f>
        <v>#REF!</v>
      </c>
      <c r="BD147" s="60" t="s">
        <v>31</v>
      </c>
      <c r="BE147" s="60"/>
      <c r="BG147" s="48"/>
      <c r="BH147" s="48"/>
      <c r="BI147" s="48"/>
      <c r="BJ147" s="48">
        <v>8</v>
      </c>
      <c r="BK147" s="73">
        <v>8</v>
      </c>
      <c r="BL147" s="48"/>
    </row>
    <row r="148" spans="1:64" s="45" customFormat="1" ht="15.75">
      <c r="A148" s="95">
        <v>422</v>
      </c>
      <c r="B148" s="96" t="s">
        <v>815</v>
      </c>
      <c r="C148" s="97" t="s">
        <v>816</v>
      </c>
      <c r="D148" s="97" t="s">
        <v>817</v>
      </c>
      <c r="E148" s="97" t="s">
        <v>818</v>
      </c>
      <c r="F148" s="97" t="s">
        <v>543</v>
      </c>
      <c r="G148" s="96" t="s">
        <v>819</v>
      </c>
      <c r="H148" s="96" t="s">
        <v>123</v>
      </c>
      <c r="I148" s="96" t="s">
        <v>326</v>
      </c>
      <c r="J148" s="96" t="s">
        <v>820</v>
      </c>
      <c r="K148" s="98" t="s">
        <v>446</v>
      </c>
      <c r="L148" s="97">
        <v>827</v>
      </c>
      <c r="M148" s="96" t="s">
        <v>154</v>
      </c>
      <c r="N148" s="96"/>
      <c r="O148" s="97" t="s">
        <v>128</v>
      </c>
      <c r="P148" s="97" t="s">
        <v>31</v>
      </c>
      <c r="Q148" s="97" t="s">
        <v>31</v>
      </c>
      <c r="R148" s="97" t="s">
        <v>31</v>
      </c>
      <c r="S148" s="97" t="s">
        <v>177</v>
      </c>
      <c r="T148" s="97">
        <v>3</v>
      </c>
      <c r="U148" s="97">
        <v>10</v>
      </c>
      <c r="V148" s="97">
        <v>0</v>
      </c>
      <c r="W148" s="97">
        <v>2</v>
      </c>
      <c r="X148" s="97" t="s">
        <v>168</v>
      </c>
      <c r="Y148" s="97" t="s">
        <v>168</v>
      </c>
      <c r="Z148" s="97" t="e">
        <v>#N/A</v>
      </c>
      <c r="AA148" s="97" t="e">
        <v>#N/A</v>
      </c>
      <c r="AB148" s="97"/>
      <c r="AC148" s="97" t="s">
        <v>157</v>
      </c>
      <c r="AD148" s="97" t="s">
        <v>132</v>
      </c>
      <c r="AE148" s="97" t="s">
        <v>133</v>
      </c>
      <c r="AF148" s="97" t="s">
        <v>329</v>
      </c>
      <c r="AG148" s="97" t="s">
        <v>31</v>
      </c>
      <c r="AH148" s="97">
        <v>941</v>
      </c>
      <c r="AI148" s="97">
        <v>700</v>
      </c>
      <c r="AJ148" s="97">
        <v>900</v>
      </c>
      <c r="AK148" s="97">
        <v>20</v>
      </c>
      <c r="AL148" s="97">
        <v>0</v>
      </c>
      <c r="AM148" s="97">
        <v>100</v>
      </c>
      <c r="AN148" s="97">
        <v>15</v>
      </c>
      <c r="AO148" s="97">
        <v>12</v>
      </c>
      <c r="AP148" s="97">
        <v>0</v>
      </c>
      <c r="AQ148" s="97">
        <v>18</v>
      </c>
      <c r="AR148" s="63">
        <v>28</v>
      </c>
      <c r="AS148" s="62">
        <v>13</v>
      </c>
      <c r="AT148" s="62">
        <v>40</v>
      </c>
      <c r="AU148" s="62">
        <v>4</v>
      </c>
      <c r="AV148" s="62">
        <v>4</v>
      </c>
      <c r="AW148" s="62">
        <v>4</v>
      </c>
      <c r="AX148" s="62">
        <v>0</v>
      </c>
      <c r="AY148" s="62">
        <v>15</v>
      </c>
      <c r="AZ148" s="63">
        <v>15</v>
      </c>
      <c r="BA148" s="62">
        <v>48</v>
      </c>
      <c r="BB148" s="62">
        <v>2</v>
      </c>
      <c r="BC148" s="62" t="e">
        <f>VLOOKUP($B$9,#REF!,2,TRUE)</f>
        <v>#REF!</v>
      </c>
      <c r="BD148" s="62" t="s">
        <v>31</v>
      </c>
      <c r="BE148" s="62"/>
      <c r="BG148" s="48"/>
      <c r="BH148" s="48"/>
      <c r="BI148" s="48"/>
      <c r="BJ148" s="48">
        <v>8</v>
      </c>
      <c r="BK148" s="73">
        <v>8</v>
      </c>
      <c r="BL148" s="48"/>
    </row>
    <row r="149" spans="1:64" s="45" customFormat="1" ht="15.75">
      <c r="A149" s="95">
        <v>452</v>
      </c>
      <c r="B149" s="96" t="s">
        <v>840</v>
      </c>
      <c r="C149" s="97" t="s">
        <v>841</v>
      </c>
      <c r="D149" s="97" t="s">
        <v>842</v>
      </c>
      <c r="E149" s="97" t="s">
        <v>843</v>
      </c>
      <c r="F149" s="97" t="s">
        <v>844</v>
      </c>
      <c r="G149" s="96" t="s">
        <v>845</v>
      </c>
      <c r="H149" s="96" t="s">
        <v>123</v>
      </c>
      <c r="I149" s="96" t="s">
        <v>846</v>
      </c>
      <c r="J149" s="96" t="s">
        <v>847</v>
      </c>
      <c r="K149" s="98" t="s">
        <v>659</v>
      </c>
      <c r="L149" s="97">
        <v>535</v>
      </c>
      <c r="M149" s="96" t="s">
        <v>154</v>
      </c>
      <c r="N149" s="96"/>
      <c r="O149" s="97" t="s">
        <v>155</v>
      </c>
      <c r="P149" s="97" t="s">
        <v>28</v>
      </c>
      <c r="Q149" s="97" t="s">
        <v>31</v>
      </c>
      <c r="R149" s="97" t="s">
        <v>31</v>
      </c>
      <c r="S149" s="97" t="s">
        <v>238</v>
      </c>
      <c r="T149" s="97">
        <v>3</v>
      </c>
      <c r="U149" s="97">
        <v>10</v>
      </c>
      <c r="V149" s="97">
        <v>0</v>
      </c>
      <c r="W149" s="97">
        <v>1</v>
      </c>
      <c r="X149" s="97" t="s">
        <v>168</v>
      </c>
      <c r="Y149" s="97" t="e">
        <v>#N/A</v>
      </c>
      <c r="Z149" s="97" t="e">
        <v>#N/A</v>
      </c>
      <c r="AA149" s="97" t="e">
        <v>#N/A</v>
      </c>
      <c r="AB149" s="97"/>
      <c r="AC149" s="97" t="s">
        <v>157</v>
      </c>
      <c r="AD149" s="97" t="s">
        <v>132</v>
      </c>
      <c r="AE149" s="97" t="s">
        <v>169</v>
      </c>
      <c r="AF149" s="97" t="s">
        <v>329</v>
      </c>
      <c r="AG149" s="97" t="s">
        <v>31</v>
      </c>
      <c r="AH149" s="97">
        <v>941</v>
      </c>
      <c r="AI149" s="97">
        <v>700</v>
      </c>
      <c r="AJ149" s="97">
        <v>900</v>
      </c>
      <c r="AK149" s="97">
        <v>20</v>
      </c>
      <c r="AL149" s="97">
        <v>0</v>
      </c>
      <c r="AM149" s="97">
        <v>100</v>
      </c>
      <c r="AN149" s="97">
        <v>15</v>
      </c>
      <c r="AO149" s="97">
        <v>12</v>
      </c>
      <c r="AP149" s="99">
        <v>0</v>
      </c>
      <c r="AQ149" s="97">
        <v>18</v>
      </c>
      <c r="AR149" s="63">
        <v>28</v>
      </c>
      <c r="AS149" s="62">
        <v>13</v>
      </c>
      <c r="AT149" s="62">
        <v>40</v>
      </c>
      <c r="AU149" s="62">
        <v>4</v>
      </c>
      <c r="AV149" s="62">
        <v>4</v>
      </c>
      <c r="AW149" s="62">
        <v>4</v>
      </c>
      <c r="AX149" s="58">
        <v>0</v>
      </c>
      <c r="AY149" s="62">
        <v>15</v>
      </c>
      <c r="AZ149" s="63">
        <v>15</v>
      </c>
      <c r="BA149" s="62">
        <v>48</v>
      </c>
      <c r="BB149" s="62">
        <v>2</v>
      </c>
      <c r="BC149" s="62" t="s">
        <v>28</v>
      </c>
      <c r="BD149" s="62" t="s">
        <v>31</v>
      </c>
      <c r="BE149" s="62"/>
      <c r="BG149" s="48"/>
      <c r="BH149" s="48"/>
      <c r="BI149" s="48"/>
      <c r="BJ149" s="48">
        <v>8</v>
      </c>
      <c r="BK149" s="73">
        <v>8</v>
      </c>
      <c r="BL149" s="48"/>
    </row>
    <row r="150" spans="1:64" s="45" customFormat="1" ht="15.75">
      <c r="A150" s="95">
        <v>459</v>
      </c>
      <c r="B150" s="96" t="s">
        <v>848</v>
      </c>
      <c r="C150" s="97" t="s">
        <v>849</v>
      </c>
      <c r="D150" s="97" t="s">
        <v>850</v>
      </c>
      <c r="E150" s="97" t="s">
        <v>851</v>
      </c>
      <c r="F150" s="97" t="s">
        <v>852</v>
      </c>
      <c r="G150" s="96" t="s">
        <v>853</v>
      </c>
      <c r="H150" s="96" t="s">
        <v>123</v>
      </c>
      <c r="I150" s="96" t="s">
        <v>326</v>
      </c>
      <c r="J150" s="96" t="s">
        <v>854</v>
      </c>
      <c r="K150" s="98" t="s">
        <v>855</v>
      </c>
      <c r="L150" s="97">
        <v>535</v>
      </c>
      <c r="M150" s="96" t="s">
        <v>154</v>
      </c>
      <c r="N150" s="96"/>
      <c r="O150" s="97" t="s">
        <v>155</v>
      </c>
      <c r="P150" s="97" t="s">
        <v>28</v>
      </c>
      <c r="Q150" s="97" t="s">
        <v>31</v>
      </c>
      <c r="R150" s="97" t="s">
        <v>31</v>
      </c>
      <c r="S150" s="97" t="s">
        <v>238</v>
      </c>
      <c r="T150" s="97">
        <v>3</v>
      </c>
      <c r="U150" s="97">
        <v>10</v>
      </c>
      <c r="V150" s="97">
        <v>0</v>
      </c>
      <c r="W150" s="97">
        <v>2</v>
      </c>
      <c r="X150" s="97" t="s">
        <v>168</v>
      </c>
      <c r="Y150" s="97" t="s">
        <v>168</v>
      </c>
      <c r="Z150" s="97" t="e">
        <v>#N/A</v>
      </c>
      <c r="AA150" s="97" t="e">
        <v>#N/A</v>
      </c>
      <c r="AB150" s="97"/>
      <c r="AC150" s="97" t="s">
        <v>157</v>
      </c>
      <c r="AD150" s="97" t="s">
        <v>132</v>
      </c>
      <c r="AE150" s="97" t="s">
        <v>133</v>
      </c>
      <c r="AF150" s="97" t="s">
        <v>329</v>
      </c>
      <c r="AG150" s="97" t="s">
        <v>31</v>
      </c>
      <c r="AH150" s="97">
        <v>941</v>
      </c>
      <c r="AI150" s="97">
        <v>700</v>
      </c>
      <c r="AJ150" s="97">
        <v>900</v>
      </c>
      <c r="AK150" s="97">
        <v>20</v>
      </c>
      <c r="AL150" s="97">
        <v>0</v>
      </c>
      <c r="AM150" s="97">
        <v>100</v>
      </c>
      <c r="AN150" s="97">
        <v>15</v>
      </c>
      <c r="AO150" s="97">
        <v>12</v>
      </c>
      <c r="AP150" s="97">
        <v>0</v>
      </c>
      <c r="AQ150" s="97">
        <v>18</v>
      </c>
      <c r="AR150" s="61">
        <v>28</v>
      </c>
      <c r="AS150" s="60">
        <v>13</v>
      </c>
      <c r="AT150" s="60">
        <v>40</v>
      </c>
      <c r="AU150" s="60">
        <v>4</v>
      </c>
      <c r="AV150" s="60">
        <v>4</v>
      </c>
      <c r="AW150" s="60">
        <v>4</v>
      </c>
      <c r="AX150" s="60">
        <v>0</v>
      </c>
      <c r="AY150" s="60">
        <v>15</v>
      </c>
      <c r="AZ150" s="61">
        <v>15</v>
      </c>
      <c r="BA150" s="60">
        <v>48</v>
      </c>
      <c r="BB150" s="60">
        <v>2</v>
      </c>
      <c r="BC150" s="60" t="e">
        <f>VLOOKUP($B$9,#REF!,2,TRUE)</f>
        <v>#REF!</v>
      </c>
      <c r="BD150" s="60" t="s">
        <v>31</v>
      </c>
      <c r="BE150" s="60"/>
      <c r="BG150" s="48"/>
      <c r="BH150" s="48"/>
      <c r="BI150" s="48"/>
      <c r="BJ150" s="48">
        <v>8</v>
      </c>
      <c r="BK150" s="73">
        <v>8</v>
      </c>
      <c r="BL150" s="48"/>
    </row>
    <row r="151" spans="1:64" s="45" customFormat="1" ht="15.75">
      <c r="A151" s="95">
        <v>445</v>
      </c>
      <c r="B151" s="96" t="s">
        <v>863</v>
      </c>
      <c r="C151" s="97" t="s">
        <v>864</v>
      </c>
      <c r="D151" s="97" t="s">
        <v>865</v>
      </c>
      <c r="E151" s="97" t="s">
        <v>866</v>
      </c>
      <c r="F151" s="97" t="s">
        <v>731</v>
      </c>
      <c r="G151" s="96" t="s">
        <v>867</v>
      </c>
      <c r="H151" s="96" t="s">
        <v>123</v>
      </c>
      <c r="I151" s="96" t="s">
        <v>124</v>
      </c>
      <c r="J151" s="96" t="s">
        <v>868</v>
      </c>
      <c r="K151" s="98" t="s">
        <v>734</v>
      </c>
      <c r="L151" s="97">
        <v>535</v>
      </c>
      <c r="M151" s="96" t="s">
        <v>154</v>
      </c>
      <c r="N151" s="96"/>
      <c r="O151" s="97" t="s">
        <v>155</v>
      </c>
      <c r="P151" s="97" t="s">
        <v>28</v>
      </c>
      <c r="Q151" s="97" t="s">
        <v>31</v>
      </c>
      <c r="R151" s="97" t="s">
        <v>31</v>
      </c>
      <c r="S151" s="97" t="s">
        <v>238</v>
      </c>
      <c r="T151" s="97">
        <v>3</v>
      </c>
      <c r="U151" s="97">
        <v>10</v>
      </c>
      <c r="V151" s="97">
        <v>0</v>
      </c>
      <c r="W151" s="97">
        <v>2</v>
      </c>
      <c r="X151" s="97" t="s">
        <v>168</v>
      </c>
      <c r="Y151" s="97" t="s">
        <v>168</v>
      </c>
      <c r="Z151" s="97" t="e">
        <v>#N/A</v>
      </c>
      <c r="AA151" s="97" t="e">
        <v>#N/A</v>
      </c>
      <c r="AB151" s="97"/>
      <c r="AC151" s="97" t="s">
        <v>157</v>
      </c>
      <c r="AD151" s="97" t="s">
        <v>132</v>
      </c>
      <c r="AE151" s="97" t="s">
        <v>133</v>
      </c>
      <c r="AF151" s="97" t="s">
        <v>329</v>
      </c>
      <c r="AG151" s="97" t="s">
        <v>31</v>
      </c>
      <c r="AH151" s="97">
        <v>941</v>
      </c>
      <c r="AI151" s="97">
        <v>700</v>
      </c>
      <c r="AJ151" s="97">
        <v>900</v>
      </c>
      <c r="AK151" s="97">
        <v>20</v>
      </c>
      <c r="AL151" s="97">
        <v>0</v>
      </c>
      <c r="AM151" s="97">
        <v>100</v>
      </c>
      <c r="AN151" s="97">
        <v>15</v>
      </c>
      <c r="AO151" s="97">
        <v>12</v>
      </c>
      <c r="AP151" s="99">
        <v>0</v>
      </c>
      <c r="AQ151" s="97">
        <v>18</v>
      </c>
      <c r="AR151" s="61">
        <v>28</v>
      </c>
      <c r="AS151" s="60">
        <v>13</v>
      </c>
      <c r="AT151" s="60">
        <v>40</v>
      </c>
      <c r="AU151" s="60">
        <v>4</v>
      </c>
      <c r="AV151" s="60">
        <v>4</v>
      </c>
      <c r="AW151" s="60">
        <v>4</v>
      </c>
      <c r="AX151" s="64">
        <v>0</v>
      </c>
      <c r="AY151" s="60">
        <v>15</v>
      </c>
      <c r="AZ151" s="61">
        <v>15</v>
      </c>
      <c r="BA151" s="60">
        <v>48</v>
      </c>
      <c r="BB151" s="60">
        <v>2</v>
      </c>
      <c r="BC151" s="60" t="e">
        <f>VLOOKUP($B$9,#REF!,2,TRUE)</f>
        <v>#REF!</v>
      </c>
      <c r="BD151" s="60" t="s">
        <v>31</v>
      </c>
      <c r="BE151" s="60"/>
      <c r="BG151" s="48"/>
      <c r="BH151" s="48"/>
      <c r="BI151" s="48"/>
      <c r="BJ151" s="48">
        <v>8</v>
      </c>
      <c r="BK151" s="73">
        <v>8</v>
      </c>
      <c r="BL151" s="48"/>
    </row>
    <row r="152" spans="1:64" s="45" customFormat="1" ht="15.75">
      <c r="A152" s="95">
        <v>443</v>
      </c>
      <c r="B152" s="96" t="s">
        <v>900</v>
      </c>
      <c r="C152" s="97" t="s">
        <v>901</v>
      </c>
      <c r="D152" s="97" t="s">
        <v>902</v>
      </c>
      <c r="E152" s="97" t="s">
        <v>903</v>
      </c>
      <c r="F152" s="97" t="s">
        <v>616</v>
      </c>
      <c r="G152" s="96" t="s">
        <v>904</v>
      </c>
      <c r="H152" s="96" t="s">
        <v>123</v>
      </c>
      <c r="I152" s="96" t="s">
        <v>151</v>
      </c>
      <c r="J152" s="96" t="s">
        <v>905</v>
      </c>
      <c r="K152" s="98" t="s">
        <v>619</v>
      </c>
      <c r="L152" s="97">
        <v>535</v>
      </c>
      <c r="M152" s="96" t="s">
        <v>154</v>
      </c>
      <c r="N152" s="96"/>
      <c r="O152" s="97" t="s">
        <v>155</v>
      </c>
      <c r="P152" s="97" t="s">
        <v>28</v>
      </c>
      <c r="Q152" s="97" t="s">
        <v>31</v>
      </c>
      <c r="R152" s="97" t="s">
        <v>31</v>
      </c>
      <c r="S152" s="97" t="s">
        <v>238</v>
      </c>
      <c r="T152" s="97">
        <v>3</v>
      </c>
      <c r="U152" s="97">
        <v>10</v>
      </c>
      <c r="V152" s="97">
        <v>0</v>
      </c>
      <c r="W152" s="97">
        <v>1</v>
      </c>
      <c r="X152" s="97" t="s">
        <v>168</v>
      </c>
      <c r="Y152" s="97" t="e">
        <v>#N/A</v>
      </c>
      <c r="Z152" s="97" t="e">
        <v>#N/A</v>
      </c>
      <c r="AA152" s="97" t="e">
        <v>#N/A</v>
      </c>
      <c r="AB152" s="97"/>
      <c r="AC152" s="97" t="s">
        <v>157</v>
      </c>
      <c r="AD152" s="97" t="s">
        <v>132</v>
      </c>
      <c r="AE152" s="97" t="s">
        <v>133</v>
      </c>
      <c r="AF152" s="97" t="s">
        <v>134</v>
      </c>
      <c r="AG152" s="97" t="s">
        <v>31</v>
      </c>
      <c r="AH152" s="97">
        <v>941</v>
      </c>
      <c r="AI152" s="97">
        <v>500</v>
      </c>
      <c r="AJ152" s="97" t="s">
        <v>369</v>
      </c>
      <c r="AK152" s="97">
        <v>20</v>
      </c>
      <c r="AL152" s="97">
        <v>0</v>
      </c>
      <c r="AM152" s="97">
        <v>100</v>
      </c>
      <c r="AN152" s="97">
        <v>15</v>
      </c>
      <c r="AO152" s="97">
        <v>12</v>
      </c>
      <c r="AP152" s="97">
        <v>0</v>
      </c>
      <c r="AQ152" s="97">
        <v>18</v>
      </c>
      <c r="AR152" s="63">
        <v>28</v>
      </c>
      <c r="AS152" s="62">
        <v>13</v>
      </c>
      <c r="AT152" s="62">
        <v>40</v>
      </c>
      <c r="AU152" s="62">
        <v>4</v>
      </c>
      <c r="AV152" s="62">
        <v>4</v>
      </c>
      <c r="AW152" s="62">
        <v>4</v>
      </c>
      <c r="AX152" s="62">
        <v>0</v>
      </c>
      <c r="AY152" s="62">
        <v>15</v>
      </c>
      <c r="AZ152" s="63">
        <v>15</v>
      </c>
      <c r="BA152" s="62">
        <v>48</v>
      </c>
      <c r="BB152" s="62">
        <v>2</v>
      </c>
      <c r="BC152" s="62" t="e">
        <f>VLOOKUP($B$9,#REF!,2,TRUE)</f>
        <v>#REF!</v>
      </c>
      <c r="BD152" s="62" t="s">
        <v>31</v>
      </c>
      <c r="BE152" s="62"/>
      <c r="BG152" s="48"/>
      <c r="BH152" s="48"/>
      <c r="BI152" s="48"/>
      <c r="BJ152" s="48">
        <v>8</v>
      </c>
      <c r="BK152" s="73">
        <v>8</v>
      </c>
      <c r="BL152" s="48"/>
    </row>
    <row r="153" spans="1:64" s="45" customFormat="1" ht="15.75">
      <c r="A153" s="95">
        <v>437</v>
      </c>
      <c r="B153" s="96" t="s">
        <v>906</v>
      </c>
      <c r="C153" s="97" t="s">
        <v>907</v>
      </c>
      <c r="D153" s="97" t="s">
        <v>908</v>
      </c>
      <c r="E153" s="97" t="s">
        <v>909</v>
      </c>
      <c r="F153" s="97" t="s">
        <v>837</v>
      </c>
      <c r="G153" s="96" t="s">
        <v>910</v>
      </c>
      <c r="H153" s="96" t="s">
        <v>123</v>
      </c>
      <c r="I153" s="96" t="s">
        <v>326</v>
      </c>
      <c r="J153" s="96" t="s">
        <v>911</v>
      </c>
      <c r="K153" s="98" t="s">
        <v>899</v>
      </c>
      <c r="L153" s="97">
        <v>535</v>
      </c>
      <c r="M153" s="96" t="s">
        <v>154</v>
      </c>
      <c r="N153" s="96"/>
      <c r="O153" s="97" t="s">
        <v>155</v>
      </c>
      <c r="P153" s="97" t="s">
        <v>28</v>
      </c>
      <c r="Q153" s="97" t="s">
        <v>31</v>
      </c>
      <c r="R153" s="97" t="s">
        <v>31</v>
      </c>
      <c r="S153" s="97" t="s">
        <v>238</v>
      </c>
      <c r="T153" s="97">
        <v>3</v>
      </c>
      <c r="U153" s="97">
        <v>10</v>
      </c>
      <c r="V153" s="97">
        <v>0</v>
      </c>
      <c r="W153" s="97">
        <v>2</v>
      </c>
      <c r="X153" s="97" t="s">
        <v>168</v>
      </c>
      <c r="Y153" s="97" t="s">
        <v>168</v>
      </c>
      <c r="Z153" s="97" t="e">
        <v>#N/A</v>
      </c>
      <c r="AA153" s="97" t="e">
        <v>#N/A</v>
      </c>
      <c r="AB153" s="97"/>
      <c r="AC153" s="97" t="s">
        <v>157</v>
      </c>
      <c r="AD153" s="97" t="s">
        <v>132</v>
      </c>
      <c r="AE153" s="97" t="s">
        <v>133</v>
      </c>
      <c r="AF153" s="97" t="s">
        <v>329</v>
      </c>
      <c r="AG153" s="97" t="s">
        <v>31</v>
      </c>
      <c r="AH153" s="97">
        <v>941</v>
      </c>
      <c r="AI153" s="97">
        <v>500</v>
      </c>
      <c r="AJ153" s="97" t="s">
        <v>369</v>
      </c>
      <c r="AK153" s="97">
        <v>20</v>
      </c>
      <c r="AL153" s="97">
        <v>0</v>
      </c>
      <c r="AM153" s="97">
        <v>100</v>
      </c>
      <c r="AN153" s="97">
        <v>15</v>
      </c>
      <c r="AO153" s="97">
        <v>12</v>
      </c>
      <c r="AP153" s="99">
        <v>0</v>
      </c>
      <c r="AQ153" s="97">
        <v>18</v>
      </c>
      <c r="AR153" s="61">
        <v>28</v>
      </c>
      <c r="AS153" s="60">
        <v>13</v>
      </c>
      <c r="AT153" s="60">
        <v>40</v>
      </c>
      <c r="AU153" s="60">
        <v>4</v>
      </c>
      <c r="AV153" s="60">
        <v>4</v>
      </c>
      <c r="AW153" s="60">
        <v>4</v>
      </c>
      <c r="AX153" s="64">
        <v>0</v>
      </c>
      <c r="AY153" s="60">
        <v>15</v>
      </c>
      <c r="AZ153" s="61">
        <v>15</v>
      </c>
      <c r="BA153" s="60">
        <v>48</v>
      </c>
      <c r="BB153" s="60">
        <v>2</v>
      </c>
      <c r="BC153" s="60" t="e">
        <f>VLOOKUP($B$9,#REF!,2,TRUE)</f>
        <v>#REF!</v>
      </c>
      <c r="BD153" s="60" t="s">
        <v>31</v>
      </c>
      <c r="BE153" s="60"/>
      <c r="BG153" s="48"/>
      <c r="BH153" s="48"/>
      <c r="BI153" s="48"/>
      <c r="BJ153" s="48">
        <v>8</v>
      </c>
      <c r="BK153" s="73">
        <v>8</v>
      </c>
      <c r="BL153" s="48"/>
    </row>
    <row r="154" spans="1:64" s="45" customFormat="1" ht="15.75">
      <c r="A154" s="95">
        <v>442</v>
      </c>
      <c r="B154" s="96" t="s">
        <v>993</v>
      </c>
      <c r="C154" s="97" t="s">
        <v>994</v>
      </c>
      <c r="D154" s="97" t="s">
        <v>995</v>
      </c>
      <c r="E154" s="97" t="s">
        <v>996</v>
      </c>
      <c r="F154" s="97" t="s">
        <v>143</v>
      </c>
      <c r="G154" s="96" t="s">
        <v>997</v>
      </c>
      <c r="H154" s="96" t="s">
        <v>123</v>
      </c>
      <c r="I154" s="96" t="s">
        <v>151</v>
      </c>
      <c r="J154" s="96" t="s">
        <v>998</v>
      </c>
      <c r="K154" s="98" t="s">
        <v>602</v>
      </c>
      <c r="L154" s="97">
        <v>535</v>
      </c>
      <c r="M154" s="96" t="s">
        <v>154</v>
      </c>
      <c r="N154" s="96"/>
      <c r="O154" s="97" t="s">
        <v>155</v>
      </c>
      <c r="P154" s="97" t="s">
        <v>28</v>
      </c>
      <c r="Q154" s="97" t="s">
        <v>31</v>
      </c>
      <c r="R154" s="97" t="s">
        <v>31</v>
      </c>
      <c r="S154" s="97" t="s">
        <v>238</v>
      </c>
      <c r="T154" s="97">
        <v>3</v>
      </c>
      <c r="U154" s="97">
        <v>10</v>
      </c>
      <c r="V154" s="97">
        <v>0</v>
      </c>
      <c r="W154" s="97">
        <v>2</v>
      </c>
      <c r="X154" s="97" t="s">
        <v>168</v>
      </c>
      <c r="Y154" s="97" t="s">
        <v>168</v>
      </c>
      <c r="Z154" s="97" t="e">
        <v>#N/A</v>
      </c>
      <c r="AA154" s="97" t="e">
        <v>#N/A</v>
      </c>
      <c r="AB154" s="97"/>
      <c r="AC154" s="97" t="s">
        <v>157</v>
      </c>
      <c r="AD154" s="97" t="s">
        <v>132</v>
      </c>
      <c r="AE154" s="97" t="s">
        <v>133</v>
      </c>
      <c r="AF154" s="97" t="s">
        <v>329</v>
      </c>
      <c r="AG154" s="97" t="s">
        <v>31</v>
      </c>
      <c r="AH154" s="97">
        <v>941</v>
      </c>
      <c r="AI154" s="97">
        <v>500</v>
      </c>
      <c r="AJ154" s="97" t="s">
        <v>369</v>
      </c>
      <c r="AK154" s="97">
        <v>20</v>
      </c>
      <c r="AL154" s="97">
        <v>0</v>
      </c>
      <c r="AM154" s="97">
        <v>100</v>
      </c>
      <c r="AN154" s="97">
        <v>15</v>
      </c>
      <c r="AO154" s="97">
        <v>12</v>
      </c>
      <c r="AP154" s="97">
        <v>0</v>
      </c>
      <c r="AQ154" s="97">
        <v>18</v>
      </c>
      <c r="AR154" s="61">
        <v>28</v>
      </c>
      <c r="AS154" s="60">
        <v>13</v>
      </c>
      <c r="AT154" s="60">
        <v>40</v>
      </c>
      <c r="AU154" s="60">
        <v>4</v>
      </c>
      <c r="AV154" s="60">
        <v>4</v>
      </c>
      <c r="AW154" s="60">
        <v>4</v>
      </c>
      <c r="AX154" s="60">
        <v>0</v>
      </c>
      <c r="AY154" s="60">
        <v>15</v>
      </c>
      <c r="AZ154" s="61">
        <v>15</v>
      </c>
      <c r="BA154" s="60">
        <v>48</v>
      </c>
      <c r="BB154" s="60">
        <v>2</v>
      </c>
      <c r="BC154" s="60" t="e">
        <f>VLOOKUP($B$9,#REF!,2,TRUE)</f>
        <v>#REF!</v>
      </c>
      <c r="BD154" s="60" t="s">
        <v>31</v>
      </c>
      <c r="BE154" s="60"/>
      <c r="BG154" s="48"/>
      <c r="BH154" s="48"/>
      <c r="BI154" s="48"/>
      <c r="BJ154" s="48">
        <v>8</v>
      </c>
      <c r="BK154" s="73">
        <v>8</v>
      </c>
      <c r="BL154" s="48"/>
    </row>
    <row r="155" spans="1:64" s="45" customFormat="1" ht="15.75">
      <c r="A155" s="95">
        <v>436</v>
      </c>
      <c r="B155" s="96" t="s">
        <v>1015</v>
      </c>
      <c r="C155" s="97" t="s">
        <v>1016</v>
      </c>
      <c r="D155" s="97" t="s">
        <v>1017</v>
      </c>
      <c r="E155" s="97" t="s">
        <v>1018</v>
      </c>
      <c r="F155" s="97" t="s">
        <v>676</v>
      </c>
      <c r="G155" s="96" t="s">
        <v>1019</v>
      </c>
      <c r="H155" s="96" t="s">
        <v>123</v>
      </c>
      <c r="I155" s="96" t="s">
        <v>124</v>
      </c>
      <c r="J155" s="96" t="s">
        <v>1020</v>
      </c>
      <c r="K155" s="98" t="s">
        <v>679</v>
      </c>
      <c r="L155" s="97">
        <v>535</v>
      </c>
      <c r="M155" s="96" t="s">
        <v>154</v>
      </c>
      <c r="N155" s="96"/>
      <c r="O155" s="97" t="s">
        <v>155</v>
      </c>
      <c r="P155" s="97" t="s">
        <v>28</v>
      </c>
      <c r="Q155" s="97" t="s">
        <v>31</v>
      </c>
      <c r="R155" s="97" t="s">
        <v>31</v>
      </c>
      <c r="S155" s="97" t="s">
        <v>238</v>
      </c>
      <c r="T155" s="97">
        <v>3</v>
      </c>
      <c r="U155" s="97">
        <v>10</v>
      </c>
      <c r="V155" s="97">
        <v>0</v>
      </c>
      <c r="W155" s="97">
        <v>2</v>
      </c>
      <c r="X155" s="97" t="s">
        <v>168</v>
      </c>
      <c r="Y155" s="97" t="s">
        <v>168</v>
      </c>
      <c r="Z155" s="97" t="e">
        <v>#N/A</v>
      </c>
      <c r="AA155" s="97" t="e">
        <v>#N/A</v>
      </c>
      <c r="AB155" s="97"/>
      <c r="AC155" s="97" t="s">
        <v>157</v>
      </c>
      <c r="AD155" s="97" t="s">
        <v>132</v>
      </c>
      <c r="AE155" s="97" t="s">
        <v>133</v>
      </c>
      <c r="AF155" s="97" t="s">
        <v>329</v>
      </c>
      <c r="AG155" s="97" t="s">
        <v>31</v>
      </c>
      <c r="AH155" s="97">
        <v>941</v>
      </c>
      <c r="AI155" s="97">
        <v>500</v>
      </c>
      <c r="AJ155" s="97" t="s">
        <v>369</v>
      </c>
      <c r="AK155" s="97">
        <v>20</v>
      </c>
      <c r="AL155" s="97">
        <v>0</v>
      </c>
      <c r="AM155" s="97">
        <v>100</v>
      </c>
      <c r="AN155" s="97">
        <v>15</v>
      </c>
      <c r="AO155" s="97">
        <v>12</v>
      </c>
      <c r="AP155" s="99">
        <v>0</v>
      </c>
      <c r="AQ155" s="97">
        <v>18</v>
      </c>
      <c r="AR155" s="63">
        <v>28</v>
      </c>
      <c r="AS155" s="62">
        <v>13</v>
      </c>
      <c r="AT155" s="62">
        <v>40</v>
      </c>
      <c r="AU155" s="62">
        <v>4</v>
      </c>
      <c r="AV155" s="62">
        <v>4</v>
      </c>
      <c r="AW155" s="62">
        <v>4</v>
      </c>
      <c r="AX155" s="58">
        <v>0</v>
      </c>
      <c r="AY155" s="62">
        <v>15</v>
      </c>
      <c r="AZ155" s="63">
        <v>15</v>
      </c>
      <c r="BA155" s="62">
        <v>48</v>
      </c>
      <c r="BB155" s="62">
        <v>2</v>
      </c>
      <c r="BC155" s="62" t="e">
        <f>VLOOKUP($B$9,#REF!,2,TRUE)</f>
        <v>#REF!</v>
      </c>
      <c r="BD155" s="62" t="s">
        <v>31</v>
      </c>
      <c r="BE155" s="62"/>
      <c r="BG155" s="48"/>
      <c r="BH155" s="48"/>
      <c r="BI155" s="48"/>
      <c r="BJ155" s="48">
        <v>8</v>
      </c>
      <c r="BK155" s="73">
        <v>8</v>
      </c>
      <c r="BL155" s="48"/>
    </row>
    <row r="156" spans="1:64" s="45" customFormat="1" ht="15.75">
      <c r="A156" s="95">
        <v>465</v>
      </c>
      <c r="B156" s="96" t="s">
        <v>1040</v>
      </c>
      <c r="C156" s="97" t="s">
        <v>1041</v>
      </c>
      <c r="D156" s="97" t="s">
        <v>1042</v>
      </c>
      <c r="E156" s="97" t="s">
        <v>1043</v>
      </c>
      <c r="F156" s="97" t="s">
        <v>731</v>
      </c>
      <c r="G156" s="96" t="s">
        <v>1044</v>
      </c>
      <c r="H156" s="96" t="s">
        <v>123</v>
      </c>
      <c r="I156" s="96" t="s">
        <v>124</v>
      </c>
      <c r="J156" s="96" t="s">
        <v>1045</v>
      </c>
      <c r="K156" s="98" t="s">
        <v>734</v>
      </c>
      <c r="L156" s="97">
        <v>535</v>
      </c>
      <c r="M156" s="96" t="s">
        <v>154</v>
      </c>
      <c r="N156" s="96"/>
      <c r="O156" s="97" t="s">
        <v>155</v>
      </c>
      <c r="P156" s="97" t="s">
        <v>28</v>
      </c>
      <c r="Q156" s="97" t="s">
        <v>31</v>
      </c>
      <c r="R156" s="97" t="s">
        <v>31</v>
      </c>
      <c r="S156" s="97" t="s">
        <v>238</v>
      </c>
      <c r="T156" s="97">
        <v>3</v>
      </c>
      <c r="U156" s="97">
        <v>10</v>
      </c>
      <c r="V156" s="97">
        <v>0</v>
      </c>
      <c r="W156" s="97">
        <v>2</v>
      </c>
      <c r="X156" s="97" t="s">
        <v>168</v>
      </c>
      <c r="Y156" s="97" t="s">
        <v>168</v>
      </c>
      <c r="Z156" s="97" t="e">
        <v>#N/A</v>
      </c>
      <c r="AA156" s="97" t="e">
        <v>#N/A</v>
      </c>
      <c r="AB156" s="97"/>
      <c r="AC156" s="97" t="s">
        <v>157</v>
      </c>
      <c r="AD156" s="97" t="s">
        <v>132</v>
      </c>
      <c r="AE156" s="97" t="s">
        <v>133</v>
      </c>
      <c r="AF156" s="97" t="s">
        <v>329</v>
      </c>
      <c r="AG156" s="97" t="s">
        <v>31</v>
      </c>
      <c r="AH156" s="97">
        <v>941</v>
      </c>
      <c r="AI156" s="97">
        <v>500</v>
      </c>
      <c r="AJ156" s="97" t="s">
        <v>369</v>
      </c>
      <c r="AK156" s="97">
        <v>20</v>
      </c>
      <c r="AL156" s="97">
        <v>0</v>
      </c>
      <c r="AM156" s="97">
        <v>100</v>
      </c>
      <c r="AN156" s="97">
        <v>15</v>
      </c>
      <c r="AO156" s="97">
        <v>12</v>
      </c>
      <c r="AP156" s="97">
        <v>0</v>
      </c>
      <c r="AQ156" s="97">
        <v>18</v>
      </c>
      <c r="AR156" s="61">
        <v>28</v>
      </c>
      <c r="AS156" s="60">
        <v>13</v>
      </c>
      <c r="AT156" s="60">
        <v>40</v>
      </c>
      <c r="AU156" s="60">
        <v>4</v>
      </c>
      <c r="AV156" s="60">
        <v>4</v>
      </c>
      <c r="AW156" s="60">
        <v>4</v>
      </c>
      <c r="AX156" s="62">
        <v>0</v>
      </c>
      <c r="AY156" s="62">
        <v>15</v>
      </c>
      <c r="AZ156" s="61">
        <v>15</v>
      </c>
      <c r="BA156" s="60">
        <v>48</v>
      </c>
      <c r="BB156" s="60">
        <v>2</v>
      </c>
      <c r="BC156" s="60" t="e">
        <f>VLOOKUP($B$9,#REF!,2,TRUE)</f>
        <v>#REF!</v>
      </c>
      <c r="BD156" s="60" t="s">
        <v>31</v>
      </c>
      <c r="BE156" s="60"/>
      <c r="BG156" s="48"/>
      <c r="BH156" s="48"/>
      <c r="BI156" s="48"/>
      <c r="BJ156" s="48">
        <v>8</v>
      </c>
      <c r="BK156" s="73">
        <v>8</v>
      </c>
      <c r="BL156" s="48"/>
    </row>
    <row r="157" spans="1:64" s="45" customFormat="1" ht="15.75">
      <c r="A157" s="95">
        <v>444</v>
      </c>
      <c r="B157" s="96" t="s">
        <v>1085</v>
      </c>
      <c r="C157" s="97" t="s">
        <v>1086</v>
      </c>
      <c r="D157" s="97" t="s">
        <v>1087</v>
      </c>
      <c r="E157" s="97" t="s">
        <v>1088</v>
      </c>
      <c r="F157" s="97" t="s">
        <v>1037</v>
      </c>
      <c r="G157" s="96" t="s">
        <v>1089</v>
      </c>
      <c r="H157" s="96" t="s">
        <v>123</v>
      </c>
      <c r="I157" s="96" t="s">
        <v>151</v>
      </c>
      <c r="J157" s="96" t="s">
        <v>1090</v>
      </c>
      <c r="K157" s="98" t="s">
        <v>638</v>
      </c>
      <c r="L157" s="97">
        <v>535</v>
      </c>
      <c r="M157" s="96" t="s">
        <v>154</v>
      </c>
      <c r="N157" s="96"/>
      <c r="O157" s="97" t="s">
        <v>155</v>
      </c>
      <c r="P157" s="97" t="s">
        <v>28</v>
      </c>
      <c r="Q157" s="97" t="s">
        <v>31</v>
      </c>
      <c r="R157" s="97" t="s">
        <v>31</v>
      </c>
      <c r="S157" s="97" t="s">
        <v>238</v>
      </c>
      <c r="T157" s="97">
        <v>3</v>
      </c>
      <c r="U157" s="97">
        <v>10</v>
      </c>
      <c r="V157" s="97">
        <v>0</v>
      </c>
      <c r="W157" s="97">
        <v>2</v>
      </c>
      <c r="X157" s="97" t="s">
        <v>168</v>
      </c>
      <c r="Y157" s="97" t="s">
        <v>168</v>
      </c>
      <c r="Z157" s="97" t="e">
        <v>#N/A</v>
      </c>
      <c r="AA157" s="97" t="e">
        <v>#N/A</v>
      </c>
      <c r="AB157" s="97"/>
      <c r="AC157" s="97" t="s">
        <v>157</v>
      </c>
      <c r="AD157" s="97" t="s">
        <v>132</v>
      </c>
      <c r="AE157" s="97" t="s">
        <v>133</v>
      </c>
      <c r="AF157" s="97" t="s">
        <v>134</v>
      </c>
      <c r="AG157" s="97" t="s">
        <v>31</v>
      </c>
      <c r="AH157" s="97">
        <v>941</v>
      </c>
      <c r="AI157" s="97">
        <v>500</v>
      </c>
      <c r="AJ157" s="97" t="s">
        <v>369</v>
      </c>
      <c r="AK157" s="97">
        <v>20</v>
      </c>
      <c r="AL157" s="97">
        <v>0</v>
      </c>
      <c r="AM157" s="97">
        <v>100</v>
      </c>
      <c r="AN157" s="97">
        <v>15</v>
      </c>
      <c r="AO157" s="97">
        <v>12</v>
      </c>
      <c r="AP157" s="99">
        <v>0</v>
      </c>
      <c r="AQ157" s="97">
        <v>18</v>
      </c>
      <c r="AR157" s="63">
        <v>28</v>
      </c>
      <c r="AS157" s="62">
        <v>13</v>
      </c>
      <c r="AT157" s="62">
        <v>40</v>
      </c>
      <c r="AU157" s="62">
        <v>4</v>
      </c>
      <c r="AV157" s="62">
        <v>4</v>
      </c>
      <c r="AW157" s="62">
        <v>4</v>
      </c>
      <c r="AX157" s="64">
        <v>0</v>
      </c>
      <c r="AY157" s="60">
        <v>15</v>
      </c>
      <c r="AZ157" s="63">
        <v>15</v>
      </c>
      <c r="BA157" s="62">
        <v>48</v>
      </c>
      <c r="BB157" s="62">
        <v>2</v>
      </c>
      <c r="BC157" s="62" t="e">
        <f>VLOOKUP($B$9,#REF!,2,TRUE)</f>
        <v>#REF!</v>
      </c>
      <c r="BD157" s="62" t="s">
        <v>31</v>
      </c>
      <c r="BE157" s="62"/>
      <c r="BG157" s="48"/>
      <c r="BH157" s="48"/>
      <c r="BI157" s="48"/>
      <c r="BJ157" s="48">
        <v>8</v>
      </c>
      <c r="BK157" s="73">
        <v>8</v>
      </c>
      <c r="BL157" s="48"/>
    </row>
    <row r="158" spans="1:64" s="45" customFormat="1" ht="15.75">
      <c r="A158" s="95">
        <v>463</v>
      </c>
      <c r="B158" s="96" t="s">
        <v>1122</v>
      </c>
      <c r="C158" s="97" t="s">
        <v>1123</v>
      </c>
      <c r="D158" s="97" t="s">
        <v>1124</v>
      </c>
      <c r="E158" s="97" t="s">
        <v>1125</v>
      </c>
      <c r="F158" s="97" t="s">
        <v>379</v>
      </c>
      <c r="G158" s="96" t="s">
        <v>1126</v>
      </c>
      <c r="H158" s="96" t="s">
        <v>123</v>
      </c>
      <c r="I158" s="96" t="s">
        <v>151</v>
      </c>
      <c r="J158" s="96" t="s">
        <v>1127</v>
      </c>
      <c r="K158" s="98" t="s">
        <v>382</v>
      </c>
      <c r="L158" s="97">
        <v>535</v>
      </c>
      <c r="M158" s="96" t="s">
        <v>154</v>
      </c>
      <c r="N158" s="96"/>
      <c r="O158" s="97" t="s">
        <v>155</v>
      </c>
      <c r="P158" s="97" t="s">
        <v>28</v>
      </c>
      <c r="Q158" s="97" t="s">
        <v>31</v>
      </c>
      <c r="R158" s="97" t="s">
        <v>31</v>
      </c>
      <c r="S158" s="97" t="s">
        <v>238</v>
      </c>
      <c r="T158" s="97">
        <v>3</v>
      </c>
      <c r="U158" s="97">
        <v>10</v>
      </c>
      <c r="V158" s="97">
        <v>0</v>
      </c>
      <c r="W158" s="97">
        <v>2</v>
      </c>
      <c r="X158" s="97" t="s">
        <v>168</v>
      </c>
      <c r="Y158" s="97" t="s">
        <v>168</v>
      </c>
      <c r="Z158" s="97" t="e">
        <v>#N/A</v>
      </c>
      <c r="AA158" s="97" t="e">
        <v>#N/A</v>
      </c>
      <c r="AB158" s="97"/>
      <c r="AC158" s="97" t="s">
        <v>157</v>
      </c>
      <c r="AD158" s="97" t="s">
        <v>132</v>
      </c>
      <c r="AE158" s="97" t="s">
        <v>169</v>
      </c>
      <c r="AF158" s="97" t="s">
        <v>134</v>
      </c>
      <c r="AG158" s="97" t="s">
        <v>31</v>
      </c>
      <c r="AH158" s="97">
        <v>941</v>
      </c>
      <c r="AI158" s="97">
        <v>500</v>
      </c>
      <c r="AJ158" s="97" t="s">
        <v>369</v>
      </c>
      <c r="AK158" s="97">
        <v>20</v>
      </c>
      <c r="AL158" s="97">
        <v>0</v>
      </c>
      <c r="AM158" s="97">
        <v>100</v>
      </c>
      <c r="AN158" s="97">
        <v>15</v>
      </c>
      <c r="AO158" s="97">
        <v>12</v>
      </c>
      <c r="AP158" s="97">
        <v>0</v>
      </c>
      <c r="AQ158" s="97">
        <v>18</v>
      </c>
      <c r="AR158" s="61">
        <v>28</v>
      </c>
      <c r="AS158" s="60">
        <v>13</v>
      </c>
      <c r="AT158" s="60">
        <v>40</v>
      </c>
      <c r="AU158" s="60">
        <v>4</v>
      </c>
      <c r="AV158" s="60">
        <v>4</v>
      </c>
      <c r="AW158" s="60">
        <v>4</v>
      </c>
      <c r="AX158" s="60">
        <v>0</v>
      </c>
      <c r="AY158" s="60">
        <v>15</v>
      </c>
      <c r="AZ158" s="61">
        <v>15</v>
      </c>
      <c r="BA158" s="60">
        <v>48</v>
      </c>
      <c r="BB158" s="60">
        <v>2</v>
      </c>
      <c r="BC158" s="60" t="e">
        <f>VLOOKUP($B$9,#REF!,2,TRUE)</f>
        <v>#REF!</v>
      </c>
      <c r="BD158" s="60" t="s">
        <v>31</v>
      </c>
      <c r="BE158" s="60"/>
      <c r="BG158" s="48"/>
      <c r="BH158" s="48"/>
      <c r="BI158" s="48"/>
      <c r="BJ158" s="48">
        <v>8</v>
      </c>
      <c r="BK158" s="73">
        <v>8</v>
      </c>
      <c r="BL158" s="48"/>
    </row>
    <row r="159" spans="1:64" s="45" customFormat="1" ht="15.75">
      <c r="A159" s="95">
        <v>458</v>
      </c>
      <c r="B159" s="96" t="s">
        <v>1128</v>
      </c>
      <c r="C159" s="97" t="s">
        <v>1129</v>
      </c>
      <c r="D159" s="97" t="s">
        <v>1130</v>
      </c>
      <c r="E159" s="97" t="s">
        <v>1131</v>
      </c>
      <c r="F159" s="97" t="s">
        <v>1030</v>
      </c>
      <c r="G159" s="96" t="s">
        <v>1132</v>
      </c>
      <c r="H159" s="96" t="s">
        <v>123</v>
      </c>
      <c r="I159" s="96" t="s">
        <v>151</v>
      </c>
      <c r="J159" s="96" t="s">
        <v>1133</v>
      </c>
      <c r="K159" s="98" t="s">
        <v>500</v>
      </c>
      <c r="L159" s="97">
        <v>535</v>
      </c>
      <c r="M159" s="96" t="s">
        <v>154</v>
      </c>
      <c r="N159" s="96"/>
      <c r="O159" s="97" t="s">
        <v>155</v>
      </c>
      <c r="P159" s="97" t="s">
        <v>28</v>
      </c>
      <c r="Q159" s="97" t="s">
        <v>31</v>
      </c>
      <c r="R159" s="97" t="s">
        <v>31</v>
      </c>
      <c r="S159" s="97" t="s">
        <v>1134</v>
      </c>
      <c r="T159" s="97">
        <v>3</v>
      </c>
      <c r="U159" s="97">
        <v>10</v>
      </c>
      <c r="V159" s="97">
        <v>0</v>
      </c>
      <c r="W159" s="97">
        <v>2</v>
      </c>
      <c r="X159" s="97" t="s">
        <v>168</v>
      </c>
      <c r="Y159" s="97" t="s">
        <v>168</v>
      </c>
      <c r="Z159" s="97" t="e">
        <v>#N/A</v>
      </c>
      <c r="AA159" s="97" t="e">
        <v>#N/A</v>
      </c>
      <c r="AB159" s="97"/>
      <c r="AC159" s="97" t="s">
        <v>157</v>
      </c>
      <c r="AD159" s="97" t="s">
        <v>132</v>
      </c>
      <c r="AE159" s="97" t="s">
        <v>133</v>
      </c>
      <c r="AF159" s="97" t="s">
        <v>329</v>
      </c>
      <c r="AG159" s="97" t="s">
        <v>31</v>
      </c>
      <c r="AH159" s="97">
        <v>941</v>
      </c>
      <c r="AI159" s="97">
        <v>500</v>
      </c>
      <c r="AJ159" s="97" t="s">
        <v>369</v>
      </c>
      <c r="AK159" s="97">
        <v>20</v>
      </c>
      <c r="AL159" s="97">
        <v>0</v>
      </c>
      <c r="AM159" s="97">
        <v>100</v>
      </c>
      <c r="AN159" s="97">
        <v>15</v>
      </c>
      <c r="AO159" s="97">
        <v>12</v>
      </c>
      <c r="AP159" s="99">
        <v>0</v>
      </c>
      <c r="AQ159" s="97">
        <v>18</v>
      </c>
      <c r="AR159" s="63">
        <v>28</v>
      </c>
      <c r="AS159" s="62">
        <v>13</v>
      </c>
      <c r="AT159" s="62">
        <v>40</v>
      </c>
      <c r="AU159" s="62">
        <v>4</v>
      </c>
      <c r="AV159" s="62">
        <v>4</v>
      </c>
      <c r="AW159" s="62">
        <v>4</v>
      </c>
      <c r="AX159" s="58">
        <v>0</v>
      </c>
      <c r="AY159" s="62">
        <v>15</v>
      </c>
      <c r="AZ159" s="63">
        <v>15</v>
      </c>
      <c r="BA159" s="62">
        <v>48</v>
      </c>
      <c r="BB159" s="62">
        <v>2</v>
      </c>
      <c r="BC159" s="62" t="e">
        <f>VLOOKUP($B$9,#REF!,2,TRUE)</f>
        <v>#REF!</v>
      </c>
      <c r="BD159" s="62" t="s">
        <v>31</v>
      </c>
      <c r="BE159" s="62"/>
      <c r="BG159" s="48"/>
      <c r="BH159" s="48"/>
      <c r="BI159" s="48"/>
      <c r="BJ159" s="48">
        <v>8</v>
      </c>
      <c r="BK159" s="73">
        <v>8</v>
      </c>
      <c r="BL159" s="48"/>
    </row>
    <row r="160" spans="1:64" s="45" customFormat="1" ht="15.75">
      <c r="A160" s="95">
        <v>439</v>
      </c>
      <c r="B160" s="96" t="s">
        <v>1135</v>
      </c>
      <c r="C160" s="97" t="s">
        <v>1136</v>
      </c>
      <c r="D160" s="97" t="s">
        <v>1137</v>
      </c>
      <c r="E160" s="97" t="s">
        <v>1138</v>
      </c>
      <c r="F160" s="97" t="s">
        <v>150</v>
      </c>
      <c r="G160" s="96" t="s">
        <v>1139</v>
      </c>
      <c r="H160" s="96" t="s">
        <v>123</v>
      </c>
      <c r="I160" s="96" t="s">
        <v>151</v>
      </c>
      <c r="J160" s="96" t="s">
        <v>1140</v>
      </c>
      <c r="K160" s="98" t="s">
        <v>262</v>
      </c>
      <c r="L160" s="97">
        <v>535</v>
      </c>
      <c r="M160" s="96" t="s">
        <v>154</v>
      </c>
      <c r="N160" s="96"/>
      <c r="O160" s="97" t="s">
        <v>155</v>
      </c>
      <c r="P160" s="97" t="s">
        <v>28</v>
      </c>
      <c r="Q160" s="97" t="s">
        <v>31</v>
      </c>
      <c r="R160" s="97" t="s">
        <v>31</v>
      </c>
      <c r="S160" s="97" t="s">
        <v>1134</v>
      </c>
      <c r="T160" s="97">
        <v>3</v>
      </c>
      <c r="U160" s="97">
        <v>10</v>
      </c>
      <c r="V160" s="97">
        <v>0</v>
      </c>
      <c r="W160" s="97">
        <v>2</v>
      </c>
      <c r="X160" s="97" t="s">
        <v>168</v>
      </c>
      <c r="Y160" s="97" t="s">
        <v>168</v>
      </c>
      <c r="Z160" s="97" t="e">
        <v>#N/A</v>
      </c>
      <c r="AA160" s="97" t="e">
        <v>#N/A</v>
      </c>
      <c r="AB160" s="97"/>
      <c r="AC160" s="97" t="s">
        <v>157</v>
      </c>
      <c r="AD160" s="97" t="s">
        <v>132</v>
      </c>
      <c r="AE160" s="97" t="s">
        <v>133</v>
      </c>
      <c r="AF160" s="97" t="s">
        <v>329</v>
      </c>
      <c r="AG160" s="97" t="s">
        <v>31</v>
      </c>
      <c r="AH160" s="97">
        <v>941</v>
      </c>
      <c r="AI160" s="97">
        <v>500</v>
      </c>
      <c r="AJ160" s="97" t="s">
        <v>369</v>
      </c>
      <c r="AK160" s="97">
        <v>20</v>
      </c>
      <c r="AL160" s="97">
        <v>0</v>
      </c>
      <c r="AM160" s="97">
        <v>100</v>
      </c>
      <c r="AN160" s="97">
        <v>15</v>
      </c>
      <c r="AO160" s="97">
        <v>12</v>
      </c>
      <c r="AP160" s="97">
        <v>0</v>
      </c>
      <c r="AQ160" s="97">
        <v>18</v>
      </c>
      <c r="AR160" s="61">
        <v>28</v>
      </c>
      <c r="AS160" s="60">
        <v>13</v>
      </c>
      <c r="AT160" s="60">
        <v>40</v>
      </c>
      <c r="AU160" s="60">
        <v>4</v>
      </c>
      <c r="AV160" s="60">
        <v>4</v>
      </c>
      <c r="AW160" s="60">
        <v>4</v>
      </c>
      <c r="AX160" s="60">
        <v>0</v>
      </c>
      <c r="AY160" s="60">
        <v>15</v>
      </c>
      <c r="AZ160" s="61">
        <v>15</v>
      </c>
      <c r="BA160" s="60">
        <v>48</v>
      </c>
      <c r="BB160" s="60">
        <v>2</v>
      </c>
      <c r="BC160" s="60" t="e">
        <f>VLOOKUP($B$9,#REF!,2,TRUE)</f>
        <v>#REF!</v>
      </c>
      <c r="BD160" s="60" t="s">
        <v>31</v>
      </c>
      <c r="BE160" s="60"/>
      <c r="BG160" s="48"/>
      <c r="BH160" s="48"/>
      <c r="BI160" s="48"/>
      <c r="BJ160" s="48">
        <v>8</v>
      </c>
      <c r="BK160" s="73">
        <v>8</v>
      </c>
      <c r="BL160" s="48"/>
    </row>
    <row r="161" spans="1:64" s="45" customFormat="1" ht="15.75">
      <c r="A161" s="95">
        <v>5</v>
      </c>
      <c r="B161" s="96" t="s">
        <v>247</v>
      </c>
      <c r="C161" s="97" t="s">
        <v>248</v>
      </c>
      <c r="D161" s="97" t="s">
        <v>249</v>
      </c>
      <c r="E161" s="97" t="s">
        <v>250</v>
      </c>
      <c r="F161" s="97" t="s">
        <v>217</v>
      </c>
      <c r="G161" s="96" t="s">
        <v>251</v>
      </c>
      <c r="H161" s="96" t="s">
        <v>123</v>
      </c>
      <c r="I161" s="96" t="s">
        <v>124</v>
      </c>
      <c r="J161" s="96" t="s">
        <v>252</v>
      </c>
      <c r="K161" s="98" t="s">
        <v>253</v>
      </c>
      <c r="L161" s="97">
        <v>592</v>
      </c>
      <c r="M161" s="96" t="s">
        <v>154</v>
      </c>
      <c r="N161" s="96"/>
      <c r="O161" s="97" t="s">
        <v>128</v>
      </c>
      <c r="P161" s="97" t="s">
        <v>31</v>
      </c>
      <c r="Q161" s="97" t="s">
        <v>31</v>
      </c>
      <c r="R161" s="97" t="s">
        <v>31</v>
      </c>
      <c r="S161" s="97" t="s">
        <v>254</v>
      </c>
      <c r="T161" s="97">
        <v>2</v>
      </c>
      <c r="U161" s="97">
        <v>11</v>
      </c>
      <c r="V161" s="97">
        <v>0</v>
      </c>
      <c r="W161" s="97">
        <v>1</v>
      </c>
      <c r="X161" s="97" t="s">
        <v>168</v>
      </c>
      <c r="Y161" s="97" t="e">
        <v>#N/A</v>
      </c>
      <c r="Z161" s="97" t="e">
        <v>#N/A</v>
      </c>
      <c r="AA161" s="97" t="e">
        <v>#N/A</v>
      </c>
      <c r="AB161" s="97"/>
      <c r="AC161" s="97" t="s">
        <v>157</v>
      </c>
      <c r="AD161" s="97" t="s">
        <v>132</v>
      </c>
      <c r="AE161" s="97" t="s">
        <v>133</v>
      </c>
      <c r="AF161" s="97" t="s">
        <v>134</v>
      </c>
      <c r="AG161" s="97" t="s">
        <v>31</v>
      </c>
      <c r="AH161" s="97">
        <v>974</v>
      </c>
      <c r="AI161" s="97">
        <v>700</v>
      </c>
      <c r="AJ161" s="97">
        <v>900</v>
      </c>
      <c r="AK161" s="97">
        <v>22</v>
      </c>
      <c r="AL161" s="97">
        <v>0</v>
      </c>
      <c r="AM161" s="97">
        <v>110</v>
      </c>
      <c r="AN161" s="97">
        <v>10</v>
      </c>
      <c r="AO161" s="97">
        <v>8</v>
      </c>
      <c r="AP161" s="99">
        <v>0</v>
      </c>
      <c r="AQ161" s="97">
        <v>18</v>
      </c>
      <c r="AR161" s="63">
        <v>29</v>
      </c>
      <c r="AS161" s="62">
        <v>13</v>
      </c>
      <c r="AT161" s="62">
        <v>40</v>
      </c>
      <c r="AU161" s="62">
        <v>4</v>
      </c>
      <c r="AV161" s="62">
        <v>4</v>
      </c>
      <c r="AW161" s="62">
        <v>4</v>
      </c>
      <c r="AX161" s="58">
        <v>0</v>
      </c>
      <c r="AY161" s="62">
        <v>15</v>
      </c>
      <c r="AZ161" s="63">
        <v>15</v>
      </c>
      <c r="BA161" s="62">
        <v>48</v>
      </c>
      <c r="BB161" s="62">
        <v>2</v>
      </c>
      <c r="BC161" s="62" t="e">
        <f>VLOOKUP($B$9,#REF!,2,TRUE)</f>
        <v>#REF!</v>
      </c>
      <c r="BD161" s="62" t="s">
        <v>31</v>
      </c>
      <c r="BE161" s="62"/>
      <c r="BG161" s="48"/>
      <c r="BH161" s="48"/>
      <c r="BI161" s="48"/>
      <c r="BJ161" s="48">
        <v>8</v>
      </c>
      <c r="BK161" s="73">
        <v>8</v>
      </c>
      <c r="BL161" s="48"/>
    </row>
    <row r="162" spans="1:64" s="45" customFormat="1" ht="15.75">
      <c r="A162" s="95">
        <v>416</v>
      </c>
      <c r="B162" s="96" t="s">
        <v>416</v>
      </c>
      <c r="C162" s="97" t="s">
        <v>417</v>
      </c>
      <c r="D162" s="97" t="s">
        <v>418</v>
      </c>
      <c r="E162" s="97" t="s">
        <v>419</v>
      </c>
      <c r="F162" s="97" t="s">
        <v>243</v>
      </c>
      <c r="G162" s="96" t="s">
        <v>420</v>
      </c>
      <c r="H162" s="96" t="s">
        <v>123</v>
      </c>
      <c r="I162" s="96" t="s">
        <v>124</v>
      </c>
      <c r="J162" s="96" t="s">
        <v>421</v>
      </c>
      <c r="K162" s="98" t="s">
        <v>291</v>
      </c>
      <c r="L162" s="97">
        <v>896</v>
      </c>
      <c r="M162" s="96" t="s">
        <v>154</v>
      </c>
      <c r="N162" s="96"/>
      <c r="O162" s="97" t="s">
        <v>155</v>
      </c>
      <c r="P162" s="97" t="s">
        <v>31</v>
      </c>
      <c r="Q162" s="97" t="s">
        <v>28</v>
      </c>
      <c r="R162" s="97" t="s">
        <v>31</v>
      </c>
      <c r="S162" s="97" t="s">
        <v>177</v>
      </c>
      <c r="T162" s="97">
        <v>1</v>
      </c>
      <c r="U162" s="97">
        <v>11</v>
      </c>
      <c r="V162" s="97">
        <v>0</v>
      </c>
      <c r="W162" s="97">
        <v>2</v>
      </c>
      <c r="X162" s="97" t="s">
        <v>168</v>
      </c>
      <c r="Y162" s="97" t="s">
        <v>168</v>
      </c>
      <c r="Z162" s="97" t="e">
        <v>#N/A</v>
      </c>
      <c r="AA162" s="97" t="e">
        <v>#N/A</v>
      </c>
      <c r="AB162" s="97"/>
      <c r="AC162" s="97" t="s">
        <v>157</v>
      </c>
      <c r="AD162" s="97" t="s">
        <v>132</v>
      </c>
      <c r="AE162" s="97" t="s">
        <v>169</v>
      </c>
      <c r="AF162" s="97" t="s">
        <v>134</v>
      </c>
      <c r="AG162" s="97" t="s">
        <v>31</v>
      </c>
      <c r="AH162" s="97">
        <v>1021</v>
      </c>
      <c r="AI162" s="97">
        <v>700</v>
      </c>
      <c r="AJ162" s="97">
        <v>900</v>
      </c>
      <c r="AK162" s="97">
        <v>22</v>
      </c>
      <c r="AL162" s="97">
        <v>0</v>
      </c>
      <c r="AM162" s="97">
        <v>110</v>
      </c>
      <c r="AN162" s="97">
        <v>5</v>
      </c>
      <c r="AO162" s="97">
        <v>4</v>
      </c>
      <c r="AP162" s="97">
        <v>0</v>
      </c>
      <c r="AQ162" s="97">
        <v>18</v>
      </c>
      <c r="AR162" s="63">
        <v>28</v>
      </c>
      <c r="AS162" s="62">
        <v>12</v>
      </c>
      <c r="AT162" s="62">
        <v>40</v>
      </c>
      <c r="AU162" s="62">
        <v>4</v>
      </c>
      <c r="AV162" s="62">
        <v>4</v>
      </c>
      <c r="AW162" s="62">
        <v>4</v>
      </c>
      <c r="AX162" s="62">
        <v>0</v>
      </c>
      <c r="AY162" s="62">
        <v>15</v>
      </c>
      <c r="AZ162" s="63">
        <v>15</v>
      </c>
      <c r="BA162" s="62">
        <v>48</v>
      </c>
      <c r="BB162" s="62">
        <v>2</v>
      </c>
      <c r="BC162" s="62" t="e">
        <f>VLOOKUP($B$9,#REF!,2,TRUE)</f>
        <v>#REF!</v>
      </c>
      <c r="BD162" s="62" t="s">
        <v>31</v>
      </c>
      <c r="BE162" s="62"/>
      <c r="BG162" s="48"/>
      <c r="BH162" s="48"/>
      <c r="BI162" s="48"/>
      <c r="BJ162" s="48">
        <v>8</v>
      </c>
      <c r="BK162" s="73">
        <v>8</v>
      </c>
      <c r="BL162" s="48"/>
    </row>
    <row r="163" spans="1:64" s="45" customFormat="1" ht="15.75">
      <c r="A163" s="95">
        <v>412</v>
      </c>
      <c r="B163" s="96" t="s">
        <v>422</v>
      </c>
      <c r="C163" s="97" t="s">
        <v>423</v>
      </c>
      <c r="D163" s="97" t="s">
        <v>424</v>
      </c>
      <c r="E163" s="97" t="s">
        <v>425</v>
      </c>
      <c r="F163" s="97" t="s">
        <v>217</v>
      </c>
      <c r="G163" s="96" t="s">
        <v>426</v>
      </c>
      <c r="H163" s="96" t="s">
        <v>123</v>
      </c>
      <c r="I163" s="96" t="s">
        <v>124</v>
      </c>
      <c r="J163" s="96" t="s">
        <v>427</v>
      </c>
      <c r="K163" s="98" t="s">
        <v>409</v>
      </c>
      <c r="L163" s="97">
        <v>845</v>
      </c>
      <c r="M163" s="96" t="s">
        <v>154</v>
      </c>
      <c r="N163" s="96"/>
      <c r="O163" s="97" t="s">
        <v>284</v>
      </c>
      <c r="P163" s="97" t="s">
        <v>31</v>
      </c>
      <c r="Q163" s="97" t="s">
        <v>31</v>
      </c>
      <c r="R163" s="97" t="s">
        <v>31</v>
      </c>
      <c r="S163" s="97" t="s">
        <v>177</v>
      </c>
      <c r="T163" s="97">
        <v>1</v>
      </c>
      <c r="U163" s="97">
        <v>11</v>
      </c>
      <c r="V163" s="97">
        <v>0</v>
      </c>
      <c r="W163" s="97">
        <v>1</v>
      </c>
      <c r="X163" s="97" t="s">
        <v>168</v>
      </c>
      <c r="Y163" s="97" t="e">
        <v>#N/A</v>
      </c>
      <c r="Z163" s="97" t="e">
        <v>#N/A</v>
      </c>
      <c r="AA163" s="97" t="e">
        <v>#N/A</v>
      </c>
      <c r="AB163" s="97"/>
      <c r="AC163" s="97" t="s">
        <v>157</v>
      </c>
      <c r="AD163" s="97" t="s">
        <v>132</v>
      </c>
      <c r="AE163" s="97" t="s">
        <v>133</v>
      </c>
      <c r="AF163" s="97" t="s">
        <v>134</v>
      </c>
      <c r="AG163" s="97" t="s">
        <v>31</v>
      </c>
      <c r="AH163" s="97">
        <v>1021</v>
      </c>
      <c r="AI163" s="97">
        <v>700</v>
      </c>
      <c r="AJ163" s="97">
        <v>900</v>
      </c>
      <c r="AK163" s="97">
        <v>22</v>
      </c>
      <c r="AL163" s="97">
        <v>0</v>
      </c>
      <c r="AM163" s="97">
        <v>110</v>
      </c>
      <c r="AN163" s="97">
        <v>5</v>
      </c>
      <c r="AO163" s="97">
        <v>4</v>
      </c>
      <c r="AP163" s="99">
        <v>0</v>
      </c>
      <c r="AQ163" s="97">
        <v>18</v>
      </c>
      <c r="AR163" s="61">
        <v>28</v>
      </c>
      <c r="AS163" s="60">
        <v>12</v>
      </c>
      <c r="AT163" s="60">
        <v>40</v>
      </c>
      <c r="AU163" s="60">
        <v>4</v>
      </c>
      <c r="AV163" s="60">
        <v>4</v>
      </c>
      <c r="AW163" s="60">
        <v>4</v>
      </c>
      <c r="AX163" s="64">
        <v>0</v>
      </c>
      <c r="AY163" s="60">
        <v>15</v>
      </c>
      <c r="AZ163" s="61">
        <v>15</v>
      </c>
      <c r="BA163" s="60">
        <v>48</v>
      </c>
      <c r="BB163" s="60">
        <v>2</v>
      </c>
      <c r="BC163" s="60" t="e">
        <f>VLOOKUP($B$9,#REF!,2,TRUE)</f>
        <v>#REF!</v>
      </c>
      <c r="BD163" s="60" t="s">
        <v>31</v>
      </c>
      <c r="BE163" s="60"/>
      <c r="BG163" s="48"/>
      <c r="BH163" s="48"/>
      <c r="BI163" s="48"/>
      <c r="BJ163" s="48">
        <v>8</v>
      </c>
      <c r="BK163" s="73">
        <v>8</v>
      </c>
      <c r="BL163" s="48"/>
    </row>
    <row r="164" spans="1:64" s="45" customFormat="1" ht="15.75">
      <c r="A164" s="95">
        <v>27</v>
      </c>
      <c r="B164" s="96" t="s">
        <v>631</v>
      </c>
      <c r="C164" s="97" t="s">
        <v>632</v>
      </c>
      <c r="D164" s="97" t="s">
        <v>633</v>
      </c>
      <c r="E164" s="97" t="s">
        <v>634</v>
      </c>
      <c r="F164" s="97" t="s">
        <v>635</v>
      </c>
      <c r="G164" s="96" t="s">
        <v>636</v>
      </c>
      <c r="H164" s="96" t="s">
        <v>123</v>
      </c>
      <c r="I164" s="96" t="s">
        <v>151</v>
      </c>
      <c r="J164" s="96" t="s">
        <v>637</v>
      </c>
      <c r="K164" s="98" t="s">
        <v>638</v>
      </c>
      <c r="L164" s="97">
        <v>830</v>
      </c>
      <c r="M164" s="96" t="s">
        <v>154</v>
      </c>
      <c r="N164" s="96"/>
      <c r="O164" s="97" t="s">
        <v>128</v>
      </c>
      <c r="P164" s="97" t="s">
        <v>31</v>
      </c>
      <c r="Q164" s="97" t="s">
        <v>31</v>
      </c>
      <c r="R164" s="97" t="s">
        <v>31</v>
      </c>
      <c r="S164" s="97" t="s">
        <v>300</v>
      </c>
      <c r="T164" s="97">
        <v>6</v>
      </c>
      <c r="U164" s="97">
        <v>8</v>
      </c>
      <c r="V164" s="97">
        <v>0</v>
      </c>
      <c r="W164" s="97">
        <v>1</v>
      </c>
      <c r="X164" s="97" t="s">
        <v>168</v>
      </c>
      <c r="Y164" s="97" t="s">
        <v>168</v>
      </c>
      <c r="Z164" s="97" t="e">
        <v>#N/A</v>
      </c>
      <c r="AA164" s="97" t="e">
        <v>#N/A</v>
      </c>
      <c r="AB164" s="97"/>
      <c r="AC164" s="97" t="s">
        <v>157</v>
      </c>
      <c r="AD164" s="97" t="s">
        <v>132</v>
      </c>
      <c r="AE164" s="97" t="s">
        <v>133</v>
      </c>
      <c r="AF164" s="97" t="s">
        <v>329</v>
      </c>
      <c r="AG164" s="97" t="s">
        <v>31</v>
      </c>
      <c r="AH164" s="97">
        <v>922</v>
      </c>
      <c r="AI164" s="97"/>
      <c r="AJ164" s="97" t="s">
        <v>369</v>
      </c>
      <c r="AK164" s="97">
        <v>16</v>
      </c>
      <c r="AL164" s="97">
        <v>0</v>
      </c>
      <c r="AM164" s="97">
        <v>80</v>
      </c>
      <c r="AN164" s="97">
        <v>30</v>
      </c>
      <c r="AO164" s="97">
        <v>24</v>
      </c>
      <c r="AP164" s="97">
        <v>0</v>
      </c>
      <c r="AQ164" s="97">
        <v>20</v>
      </c>
      <c r="AR164" s="63">
        <v>27</v>
      </c>
      <c r="AS164" s="62">
        <v>14</v>
      </c>
      <c r="AT164" s="62">
        <v>40</v>
      </c>
      <c r="AU164" s="62">
        <v>4</v>
      </c>
      <c r="AV164" s="62">
        <v>4</v>
      </c>
      <c r="AW164" s="62">
        <v>4</v>
      </c>
      <c r="AX164" s="62">
        <v>0</v>
      </c>
      <c r="AY164" s="62">
        <v>15</v>
      </c>
      <c r="AZ164" s="63">
        <v>15</v>
      </c>
      <c r="BA164" s="62">
        <v>48</v>
      </c>
      <c r="BB164" s="62">
        <v>2</v>
      </c>
      <c r="BC164" s="62" t="e">
        <f>VLOOKUP($B$9,#REF!,2,TRUE)</f>
        <v>#REF!</v>
      </c>
      <c r="BD164" s="62" t="s">
        <v>31</v>
      </c>
      <c r="BE164" s="62"/>
      <c r="BG164" s="48"/>
      <c r="BH164" s="48"/>
      <c r="BI164" s="48"/>
      <c r="BJ164" s="48">
        <v>8</v>
      </c>
      <c r="BK164" s="73">
        <v>8</v>
      </c>
      <c r="BL164" s="48"/>
    </row>
    <row r="165" spans="1:64" s="45" customFormat="1" ht="15.75">
      <c r="A165" s="95">
        <v>34</v>
      </c>
      <c r="B165" s="96" t="s">
        <v>395</v>
      </c>
      <c r="C165" s="97" t="s">
        <v>396</v>
      </c>
      <c r="D165" s="97" t="s">
        <v>397</v>
      </c>
      <c r="E165" s="97" t="s">
        <v>398</v>
      </c>
      <c r="F165" s="97" t="s">
        <v>399</v>
      </c>
      <c r="G165" s="96" t="s">
        <v>400</v>
      </c>
      <c r="H165" s="96" t="s">
        <v>123</v>
      </c>
      <c r="I165" s="96" t="s">
        <v>401</v>
      </c>
      <c r="J165" s="96" t="s">
        <v>402</v>
      </c>
      <c r="K165" s="98" t="s">
        <v>403</v>
      </c>
      <c r="L165" s="97">
        <v>820</v>
      </c>
      <c r="M165" s="96" t="s">
        <v>154</v>
      </c>
      <c r="N165" s="96"/>
      <c r="O165" s="97" t="s">
        <v>128</v>
      </c>
      <c r="P165" s="97" t="s">
        <v>31</v>
      </c>
      <c r="Q165" s="97" t="s">
        <v>31</v>
      </c>
      <c r="R165" s="97" t="s">
        <v>31</v>
      </c>
      <c r="S165" s="97" t="s">
        <v>184</v>
      </c>
      <c r="T165" s="97">
        <v>4</v>
      </c>
      <c r="U165" s="97">
        <v>10</v>
      </c>
      <c r="V165" s="97">
        <v>0</v>
      </c>
      <c r="W165" s="97">
        <v>2</v>
      </c>
      <c r="X165" s="97" t="s">
        <v>168</v>
      </c>
      <c r="Y165" s="97" t="s">
        <v>168</v>
      </c>
      <c r="Z165" s="97" t="e">
        <v>#N/A</v>
      </c>
      <c r="AA165" s="97" t="e">
        <v>#N/A</v>
      </c>
      <c r="AB165" s="97"/>
      <c r="AC165" s="97" t="s">
        <v>157</v>
      </c>
      <c r="AD165" s="97" t="s">
        <v>132</v>
      </c>
      <c r="AE165" s="97" t="s">
        <v>133</v>
      </c>
      <c r="AF165" s="97" t="s">
        <v>329</v>
      </c>
      <c r="AG165" s="97" t="s">
        <v>31</v>
      </c>
      <c r="AH165" s="97">
        <v>988</v>
      </c>
      <c r="AI165" s="97">
        <v>700</v>
      </c>
      <c r="AJ165" s="97">
        <v>900</v>
      </c>
      <c r="AK165" s="97">
        <v>20</v>
      </c>
      <c r="AL165" s="97">
        <v>0</v>
      </c>
      <c r="AM165" s="97">
        <v>100</v>
      </c>
      <c r="AN165" s="97">
        <v>20</v>
      </c>
      <c r="AO165" s="97">
        <v>16</v>
      </c>
      <c r="AP165" s="99">
        <v>0</v>
      </c>
      <c r="AQ165" s="97">
        <v>20</v>
      </c>
      <c r="AR165" s="61">
        <v>29</v>
      </c>
      <c r="AS165" s="60">
        <v>14</v>
      </c>
      <c r="AT165" s="60">
        <v>40</v>
      </c>
      <c r="AU165" s="60">
        <v>4</v>
      </c>
      <c r="AV165" s="60">
        <v>4</v>
      </c>
      <c r="AW165" s="60">
        <v>4</v>
      </c>
      <c r="AX165" s="64">
        <v>0</v>
      </c>
      <c r="AY165" s="60">
        <v>15</v>
      </c>
      <c r="AZ165" s="61">
        <v>15</v>
      </c>
      <c r="BA165" s="60">
        <v>48</v>
      </c>
      <c r="BB165" s="60">
        <v>2</v>
      </c>
      <c r="BC165" s="60" t="e">
        <f>VLOOKUP($B$9,#REF!,2,TRUE)</f>
        <v>#REF!</v>
      </c>
      <c r="BD165" s="60" t="s">
        <v>31</v>
      </c>
      <c r="BE165" s="60"/>
      <c r="BG165" s="48"/>
      <c r="BH165" s="48"/>
      <c r="BI165" s="48"/>
      <c r="BJ165" s="48">
        <v>8</v>
      </c>
      <c r="BK165" s="73">
        <v>8</v>
      </c>
      <c r="BL165" s="48"/>
    </row>
    <row r="166" spans="1:64" s="45" customFormat="1" ht="15.75">
      <c r="A166" s="95">
        <v>23</v>
      </c>
      <c r="B166" s="96" t="s">
        <v>263</v>
      </c>
      <c r="C166" s="97" t="s">
        <v>264</v>
      </c>
      <c r="D166" s="97" t="s">
        <v>265</v>
      </c>
      <c r="E166" s="97" t="s">
        <v>266</v>
      </c>
      <c r="F166" s="97" t="s">
        <v>234</v>
      </c>
      <c r="G166" s="96" t="s">
        <v>267</v>
      </c>
      <c r="H166" s="96" t="s">
        <v>123</v>
      </c>
      <c r="I166" s="96" t="s">
        <v>151</v>
      </c>
      <c r="J166" s="96" t="s">
        <v>268</v>
      </c>
      <c r="K166" s="98" t="s">
        <v>237</v>
      </c>
      <c r="L166" s="97">
        <v>725</v>
      </c>
      <c r="M166" s="96" t="s">
        <v>154</v>
      </c>
      <c r="N166" s="96"/>
      <c r="O166" s="97" t="s">
        <v>128</v>
      </c>
      <c r="P166" s="97" t="s">
        <v>31</v>
      </c>
      <c r="Q166" s="97" t="s">
        <v>31</v>
      </c>
      <c r="R166" s="97" t="s">
        <v>31</v>
      </c>
      <c r="S166" s="97" t="s">
        <v>177</v>
      </c>
      <c r="T166" s="97">
        <v>3</v>
      </c>
      <c r="U166" s="97">
        <v>11</v>
      </c>
      <c r="V166" s="97">
        <v>0</v>
      </c>
      <c r="W166" s="97">
        <v>2</v>
      </c>
      <c r="X166" s="97" t="s">
        <v>168</v>
      </c>
      <c r="Y166" s="97" t="s">
        <v>168</v>
      </c>
      <c r="Z166" s="97" t="e">
        <v>#N/A</v>
      </c>
      <c r="AA166" s="97" t="e">
        <v>#N/A</v>
      </c>
      <c r="AB166" s="97"/>
      <c r="AC166" s="97" t="s">
        <v>157</v>
      </c>
      <c r="AD166" s="97" t="s">
        <v>132</v>
      </c>
      <c r="AE166" s="97" t="s">
        <v>169</v>
      </c>
      <c r="AF166" s="97" t="s">
        <v>134</v>
      </c>
      <c r="AG166" s="97" t="s">
        <v>31</v>
      </c>
      <c r="AH166" s="97">
        <v>1021</v>
      </c>
      <c r="AI166" s="97">
        <v>700</v>
      </c>
      <c r="AJ166" s="97">
        <v>900</v>
      </c>
      <c r="AK166" s="97">
        <v>22</v>
      </c>
      <c r="AL166" s="97">
        <v>0</v>
      </c>
      <c r="AM166" s="97">
        <v>110</v>
      </c>
      <c r="AN166" s="97">
        <v>15</v>
      </c>
      <c r="AO166" s="97">
        <v>12</v>
      </c>
      <c r="AP166" s="97">
        <v>0</v>
      </c>
      <c r="AQ166" s="97">
        <v>20</v>
      </c>
      <c r="AR166" s="63">
        <v>30</v>
      </c>
      <c r="AS166" s="62">
        <v>14</v>
      </c>
      <c r="AT166" s="62">
        <v>40</v>
      </c>
      <c r="AU166" s="62">
        <v>4</v>
      </c>
      <c r="AV166" s="62">
        <v>4</v>
      </c>
      <c r="AW166" s="62">
        <v>4</v>
      </c>
      <c r="AX166" s="62">
        <v>0</v>
      </c>
      <c r="AY166" s="62">
        <v>15</v>
      </c>
      <c r="AZ166" s="63">
        <v>15</v>
      </c>
      <c r="BA166" s="62">
        <v>48</v>
      </c>
      <c r="BB166" s="62">
        <v>2</v>
      </c>
      <c r="BC166" s="62" t="e">
        <f>VLOOKUP($B$9,#REF!,2,TRUE)</f>
        <v>#REF!</v>
      </c>
      <c r="BD166" s="62" t="s">
        <v>31</v>
      </c>
      <c r="BE166" s="62"/>
      <c r="BG166" s="48"/>
      <c r="BH166" s="48"/>
      <c r="BI166" s="48"/>
      <c r="BJ166" s="48">
        <v>8</v>
      </c>
      <c r="BK166" s="73">
        <v>8</v>
      </c>
      <c r="BL166" s="48"/>
    </row>
    <row r="167" spans="1:64" s="45" customFormat="1" ht="15.75">
      <c r="A167" s="95">
        <v>51</v>
      </c>
      <c r="B167" s="96" t="s">
        <v>321</v>
      </c>
      <c r="C167" s="97" t="s">
        <v>322</v>
      </c>
      <c r="D167" s="97" t="s">
        <v>323</v>
      </c>
      <c r="E167" s="97" t="s">
        <v>324</v>
      </c>
      <c r="F167" s="97" t="s">
        <v>137</v>
      </c>
      <c r="G167" s="96" t="s">
        <v>325</v>
      </c>
      <c r="H167" s="96" t="s">
        <v>123</v>
      </c>
      <c r="I167" s="96" t="s">
        <v>326</v>
      </c>
      <c r="J167" s="96" t="s">
        <v>327</v>
      </c>
      <c r="K167" s="98" t="s">
        <v>328</v>
      </c>
      <c r="L167" s="97">
        <v>894</v>
      </c>
      <c r="M167" s="96" t="s">
        <v>154</v>
      </c>
      <c r="N167" s="96"/>
      <c r="O167" s="97" t="s">
        <v>128</v>
      </c>
      <c r="P167" s="97" t="s">
        <v>31</v>
      </c>
      <c r="Q167" s="97" t="s">
        <v>31</v>
      </c>
      <c r="R167" s="97" t="s">
        <v>31</v>
      </c>
      <c r="S167" s="97" t="s">
        <v>177</v>
      </c>
      <c r="T167" s="97">
        <v>3</v>
      </c>
      <c r="U167" s="97">
        <v>11</v>
      </c>
      <c r="V167" s="97">
        <v>0</v>
      </c>
      <c r="W167" s="97">
        <v>2</v>
      </c>
      <c r="X167" s="97" t="s">
        <v>168</v>
      </c>
      <c r="Y167" s="97" t="s">
        <v>168</v>
      </c>
      <c r="Z167" s="97" t="e">
        <v>#N/A</v>
      </c>
      <c r="AA167" s="97" t="e">
        <v>#N/A</v>
      </c>
      <c r="AB167" s="97"/>
      <c r="AC167" s="97" t="s">
        <v>157</v>
      </c>
      <c r="AD167" s="97" t="s">
        <v>132</v>
      </c>
      <c r="AE167" s="97" t="s">
        <v>133</v>
      </c>
      <c r="AF167" s="97" t="s">
        <v>329</v>
      </c>
      <c r="AG167" s="97" t="s">
        <v>31</v>
      </c>
      <c r="AH167" s="97">
        <v>1021</v>
      </c>
      <c r="AI167" s="97">
        <v>700</v>
      </c>
      <c r="AJ167" s="97">
        <v>900</v>
      </c>
      <c r="AK167" s="97">
        <v>22</v>
      </c>
      <c r="AL167" s="97">
        <v>0</v>
      </c>
      <c r="AM167" s="97">
        <v>110</v>
      </c>
      <c r="AN167" s="97">
        <v>15</v>
      </c>
      <c r="AO167" s="97">
        <v>12</v>
      </c>
      <c r="AP167" s="99">
        <v>0</v>
      </c>
      <c r="AQ167" s="97">
        <v>20</v>
      </c>
      <c r="AR167" s="63">
        <v>30</v>
      </c>
      <c r="AS167" s="62">
        <v>14</v>
      </c>
      <c r="AT167" s="62">
        <v>40</v>
      </c>
      <c r="AU167" s="62">
        <v>4</v>
      </c>
      <c r="AV167" s="62">
        <v>4</v>
      </c>
      <c r="AW167" s="62">
        <v>4</v>
      </c>
      <c r="AX167" s="58">
        <v>0</v>
      </c>
      <c r="AY167" s="62">
        <v>15</v>
      </c>
      <c r="AZ167" s="63">
        <v>15</v>
      </c>
      <c r="BA167" s="62">
        <v>48</v>
      </c>
      <c r="BB167" s="62">
        <v>2</v>
      </c>
      <c r="BC167" s="62" t="e">
        <f>VLOOKUP($B$9,#REF!,2,TRUE)</f>
        <v>#REF!</v>
      </c>
      <c r="BD167" s="62" t="s">
        <v>31</v>
      </c>
      <c r="BE167" s="62"/>
      <c r="BG167" s="48"/>
      <c r="BH167" s="48"/>
      <c r="BI167" s="48"/>
      <c r="BJ167" s="48">
        <v>8</v>
      </c>
      <c r="BK167" s="73">
        <v>8</v>
      </c>
      <c r="BL167" s="48"/>
    </row>
    <row r="168" spans="1:64" s="45" customFormat="1" ht="15.75">
      <c r="A168" s="95">
        <v>68</v>
      </c>
      <c r="B168" s="96" t="s">
        <v>1153</v>
      </c>
      <c r="C168" s="97" t="s">
        <v>1154</v>
      </c>
      <c r="D168" s="97" t="s">
        <v>1155</v>
      </c>
      <c r="E168" s="97" t="s">
        <v>843</v>
      </c>
      <c r="F168" s="97" t="s">
        <v>844</v>
      </c>
      <c r="G168" s="96" t="s">
        <v>1156</v>
      </c>
      <c r="H168" s="96" t="s">
        <v>123</v>
      </c>
      <c r="I168" s="96" t="s">
        <v>846</v>
      </c>
      <c r="J168" s="96" t="s">
        <v>1157</v>
      </c>
      <c r="K168" s="98" t="s">
        <v>659</v>
      </c>
      <c r="L168" s="97">
        <v>842</v>
      </c>
      <c r="M168" s="96" t="s">
        <v>154</v>
      </c>
      <c r="N168" s="96"/>
      <c r="O168" s="97" t="s">
        <v>128</v>
      </c>
      <c r="P168" s="97" t="s">
        <v>31</v>
      </c>
      <c r="Q168" s="97" t="s">
        <v>31</v>
      </c>
      <c r="R168" s="97" t="s">
        <v>31</v>
      </c>
      <c r="S168" s="97" t="s">
        <v>177</v>
      </c>
      <c r="T168" s="97">
        <v>3</v>
      </c>
      <c r="U168" s="97">
        <v>11</v>
      </c>
      <c r="V168" s="97">
        <v>0</v>
      </c>
      <c r="W168" s="97">
        <v>2</v>
      </c>
      <c r="X168" s="97" t="s">
        <v>168</v>
      </c>
      <c r="Y168" s="97" t="s">
        <v>168</v>
      </c>
      <c r="Z168" s="97" t="e">
        <v>#N/A</v>
      </c>
      <c r="AA168" s="97" t="e">
        <v>#N/A</v>
      </c>
      <c r="AB168" s="97"/>
      <c r="AC168" s="97" t="s">
        <v>157</v>
      </c>
      <c r="AD168" s="97" t="s">
        <v>132</v>
      </c>
      <c r="AE168" s="97" t="s">
        <v>169</v>
      </c>
      <c r="AF168" s="97" t="s">
        <v>134</v>
      </c>
      <c r="AG168" s="97" t="s">
        <v>31</v>
      </c>
      <c r="AH168" s="97">
        <v>781</v>
      </c>
      <c r="AI168" s="97"/>
      <c r="AJ168" s="97" t="s">
        <v>135</v>
      </c>
      <c r="AK168" s="97">
        <v>22</v>
      </c>
      <c r="AL168" s="97">
        <v>0</v>
      </c>
      <c r="AM168" s="97">
        <v>110</v>
      </c>
      <c r="AN168" s="97">
        <v>15</v>
      </c>
      <c r="AO168" s="97">
        <v>12</v>
      </c>
      <c r="AP168" s="97">
        <v>0</v>
      </c>
      <c r="AQ168" s="97">
        <v>20</v>
      </c>
      <c r="AR168" s="63">
        <v>30</v>
      </c>
      <c r="AS168" s="62">
        <v>14</v>
      </c>
      <c r="AT168" s="62">
        <v>40</v>
      </c>
      <c r="AU168" s="62">
        <v>4</v>
      </c>
      <c r="AV168" s="62">
        <v>4</v>
      </c>
      <c r="AW168" s="62">
        <v>4</v>
      </c>
      <c r="AX168" s="62">
        <v>0</v>
      </c>
      <c r="AY168" s="62">
        <v>15</v>
      </c>
      <c r="AZ168" s="63">
        <v>15</v>
      </c>
      <c r="BA168" s="62">
        <v>48</v>
      </c>
      <c r="BB168" s="62">
        <v>2</v>
      </c>
      <c r="BC168" s="62" t="s">
        <v>28</v>
      </c>
      <c r="BD168" s="62" t="s">
        <v>31</v>
      </c>
      <c r="BE168" s="62"/>
      <c r="BG168" s="48"/>
      <c r="BH168" s="48"/>
      <c r="BI168" s="48"/>
      <c r="BJ168" s="48">
        <v>8</v>
      </c>
      <c r="BK168" s="73">
        <v>8</v>
      </c>
      <c r="BL168" s="48"/>
    </row>
    <row r="169" spans="1:64" s="45" customFormat="1" ht="16.5" customHeight="1">
      <c r="A169" s="95">
        <v>10</v>
      </c>
      <c r="B169" s="96" t="s">
        <v>192</v>
      </c>
      <c r="C169" s="97" t="s">
        <v>193</v>
      </c>
      <c r="D169" s="97" t="s">
        <v>194</v>
      </c>
      <c r="E169" s="97" t="s">
        <v>195</v>
      </c>
      <c r="F169" s="97" t="s">
        <v>163</v>
      </c>
      <c r="G169" s="96" t="s">
        <v>196</v>
      </c>
      <c r="H169" s="96" t="s">
        <v>123</v>
      </c>
      <c r="I169" s="96" t="s">
        <v>151</v>
      </c>
      <c r="J169" s="96" t="s">
        <v>197</v>
      </c>
      <c r="K169" s="98" t="s">
        <v>166</v>
      </c>
      <c r="L169" s="97">
        <v>974</v>
      </c>
      <c r="M169" s="96" t="s">
        <v>154</v>
      </c>
      <c r="N169" s="96"/>
      <c r="O169" s="97" t="s">
        <v>128</v>
      </c>
      <c r="P169" s="97" t="s">
        <v>31</v>
      </c>
      <c r="Q169" s="97" t="s">
        <v>31</v>
      </c>
      <c r="R169" s="97" t="s">
        <v>31</v>
      </c>
      <c r="S169" s="97" t="s">
        <v>177</v>
      </c>
      <c r="T169" s="97">
        <v>3</v>
      </c>
      <c r="U169" s="97">
        <v>12</v>
      </c>
      <c r="V169" s="97">
        <v>0</v>
      </c>
      <c r="W169" s="97">
        <v>2</v>
      </c>
      <c r="X169" s="97" t="s">
        <v>168</v>
      </c>
      <c r="Y169" s="97" t="s">
        <v>168</v>
      </c>
      <c r="Z169" s="97" t="e">
        <v>#N/A</v>
      </c>
      <c r="AA169" s="97" t="e">
        <v>#N/A</v>
      </c>
      <c r="AB169" s="97"/>
      <c r="AC169" s="97" t="s">
        <v>157</v>
      </c>
      <c r="AD169" s="97" t="s">
        <v>132</v>
      </c>
      <c r="AE169" s="97" t="s">
        <v>169</v>
      </c>
      <c r="AF169" s="97" t="s">
        <v>134</v>
      </c>
      <c r="AG169" s="97" t="s">
        <v>31</v>
      </c>
      <c r="AH169" s="97">
        <v>941</v>
      </c>
      <c r="AI169" s="97">
        <v>700</v>
      </c>
      <c r="AJ169" s="97">
        <v>900</v>
      </c>
      <c r="AK169" s="97">
        <v>24</v>
      </c>
      <c r="AL169" s="97">
        <v>0</v>
      </c>
      <c r="AM169" s="97">
        <v>120</v>
      </c>
      <c r="AN169" s="97">
        <v>15</v>
      </c>
      <c r="AO169" s="97">
        <v>12</v>
      </c>
      <c r="AP169" s="99">
        <v>0</v>
      </c>
      <c r="AQ169" s="97">
        <v>24</v>
      </c>
      <c r="AR169" s="61">
        <v>32</v>
      </c>
      <c r="AS169" s="60">
        <v>15</v>
      </c>
      <c r="AT169" s="60">
        <v>40</v>
      </c>
      <c r="AU169" s="60">
        <v>4</v>
      </c>
      <c r="AV169" s="60">
        <v>4</v>
      </c>
      <c r="AW169" s="60">
        <v>4</v>
      </c>
      <c r="AX169" s="64">
        <v>0</v>
      </c>
      <c r="AY169" s="60">
        <v>15</v>
      </c>
      <c r="AZ169" s="61">
        <v>15</v>
      </c>
      <c r="BA169" s="60">
        <v>48</v>
      </c>
      <c r="BB169" s="60">
        <v>2</v>
      </c>
      <c r="BC169" s="60" t="e">
        <f>VLOOKUP($B$9,#REF!,2,TRUE)</f>
        <v>#REF!</v>
      </c>
      <c r="BD169" s="60" t="s">
        <v>31</v>
      </c>
      <c r="BE169" s="60"/>
      <c r="BG169" s="48"/>
      <c r="BH169" s="48"/>
      <c r="BI169" s="48"/>
      <c r="BJ169" s="48">
        <v>8</v>
      </c>
      <c r="BK169" s="73">
        <v>8</v>
      </c>
      <c r="BL169" s="48"/>
    </row>
    <row r="170" spans="1:64" s="45" customFormat="1" ht="16.5" customHeight="1">
      <c r="A170" s="95">
        <v>40</v>
      </c>
      <c r="B170" s="96" t="s">
        <v>213</v>
      </c>
      <c r="C170" s="97" t="s">
        <v>214</v>
      </c>
      <c r="D170" s="97" t="s">
        <v>215</v>
      </c>
      <c r="E170" s="97" t="s">
        <v>216</v>
      </c>
      <c r="F170" s="97" t="s">
        <v>217</v>
      </c>
      <c r="G170" s="96" t="s">
        <v>218</v>
      </c>
      <c r="H170" s="96" t="s">
        <v>123</v>
      </c>
      <c r="I170" s="96" t="s">
        <v>124</v>
      </c>
      <c r="J170" s="96" t="s">
        <v>219</v>
      </c>
      <c r="K170" s="98" t="s">
        <v>220</v>
      </c>
      <c r="L170" s="97">
        <v>828</v>
      </c>
      <c r="M170" s="96" t="s">
        <v>154</v>
      </c>
      <c r="N170" s="96"/>
      <c r="O170" s="97" t="s">
        <v>128</v>
      </c>
      <c r="P170" s="97" t="s">
        <v>31</v>
      </c>
      <c r="Q170" s="97" t="s">
        <v>31</v>
      </c>
      <c r="R170" s="97" t="s">
        <v>31</v>
      </c>
      <c r="S170" s="97" t="s">
        <v>177</v>
      </c>
      <c r="T170" s="97">
        <v>3</v>
      </c>
      <c r="U170" s="97">
        <v>12</v>
      </c>
      <c r="V170" s="97">
        <v>0</v>
      </c>
      <c r="W170" s="97">
        <v>2</v>
      </c>
      <c r="X170" s="97" t="s">
        <v>168</v>
      </c>
      <c r="Y170" s="97" t="s">
        <v>168</v>
      </c>
      <c r="Z170" s="97" t="e">
        <v>#N/A</v>
      </c>
      <c r="AA170" s="97" t="e">
        <v>#N/A</v>
      </c>
      <c r="AB170" s="97"/>
      <c r="AC170" s="97" t="s">
        <v>157</v>
      </c>
      <c r="AD170" s="97" t="s">
        <v>132</v>
      </c>
      <c r="AE170" s="97" t="s">
        <v>133</v>
      </c>
      <c r="AF170" s="97" t="s">
        <v>134</v>
      </c>
      <c r="AG170" s="97" t="s">
        <v>31</v>
      </c>
      <c r="AH170" s="97">
        <v>1101</v>
      </c>
      <c r="AI170" s="97">
        <v>700</v>
      </c>
      <c r="AJ170" s="97">
        <v>900</v>
      </c>
      <c r="AK170" s="97">
        <v>24</v>
      </c>
      <c r="AL170" s="97">
        <v>0</v>
      </c>
      <c r="AM170" s="97">
        <v>120</v>
      </c>
      <c r="AN170" s="97">
        <v>15</v>
      </c>
      <c r="AO170" s="97">
        <v>12</v>
      </c>
      <c r="AP170" s="97">
        <v>0</v>
      </c>
      <c r="AQ170" s="97">
        <v>24</v>
      </c>
      <c r="AR170" s="63">
        <v>32</v>
      </c>
      <c r="AS170" s="62">
        <v>15</v>
      </c>
      <c r="AT170" s="62">
        <v>40</v>
      </c>
      <c r="AU170" s="62">
        <v>4</v>
      </c>
      <c r="AV170" s="62">
        <v>4</v>
      </c>
      <c r="AW170" s="62">
        <v>4</v>
      </c>
      <c r="AX170" s="62">
        <v>0</v>
      </c>
      <c r="AY170" s="62">
        <v>17</v>
      </c>
      <c r="AZ170" s="63">
        <v>15</v>
      </c>
      <c r="BA170" s="62">
        <v>48</v>
      </c>
      <c r="BB170" s="62">
        <v>2</v>
      </c>
      <c r="BC170" s="62" t="e">
        <f>VLOOKUP($B$9,#REF!,2,TRUE)</f>
        <v>#REF!</v>
      </c>
      <c r="BD170" s="62" t="s">
        <v>31</v>
      </c>
      <c r="BE170" s="62"/>
      <c r="BG170" s="48"/>
      <c r="BH170" s="48"/>
      <c r="BI170" s="48"/>
      <c r="BJ170" s="48">
        <v>8</v>
      </c>
      <c r="BK170" s="73">
        <v>8</v>
      </c>
      <c r="BL170" s="48"/>
    </row>
    <row r="171" spans="1:64" s="45" customFormat="1" ht="16.5" customHeight="1">
      <c r="A171" s="95">
        <v>33</v>
      </c>
      <c r="B171" s="96" t="s">
        <v>159</v>
      </c>
      <c r="C171" s="97" t="s">
        <v>160</v>
      </c>
      <c r="D171" s="97" t="s">
        <v>161</v>
      </c>
      <c r="E171" s="97" t="s">
        <v>162</v>
      </c>
      <c r="F171" s="97" t="s">
        <v>163</v>
      </c>
      <c r="G171" s="96" t="s">
        <v>164</v>
      </c>
      <c r="H171" s="96" t="s">
        <v>123</v>
      </c>
      <c r="I171" s="96" t="s">
        <v>151</v>
      </c>
      <c r="J171" s="96" t="s">
        <v>165</v>
      </c>
      <c r="K171" s="98" t="s">
        <v>166</v>
      </c>
      <c r="L171" s="97">
        <v>744</v>
      </c>
      <c r="M171" s="96" t="s">
        <v>154</v>
      </c>
      <c r="N171" s="96"/>
      <c r="O171" s="97" t="s">
        <v>128</v>
      </c>
      <c r="P171" s="97" t="s">
        <v>31</v>
      </c>
      <c r="Q171" s="97" t="s">
        <v>31</v>
      </c>
      <c r="R171" s="97" t="s">
        <v>31</v>
      </c>
      <c r="S171" s="97" t="s">
        <v>167</v>
      </c>
      <c r="T171" s="97">
        <v>2</v>
      </c>
      <c r="U171" s="97">
        <v>13</v>
      </c>
      <c r="V171" s="97">
        <v>0</v>
      </c>
      <c r="W171" s="97">
        <v>1</v>
      </c>
      <c r="X171" s="97" t="s">
        <v>168</v>
      </c>
      <c r="Y171" s="97" t="e">
        <v>#N/A</v>
      </c>
      <c r="Z171" s="97" t="e">
        <v>#N/A</v>
      </c>
      <c r="AA171" s="97" t="e">
        <v>#N/A</v>
      </c>
      <c r="AB171" s="97"/>
      <c r="AC171" s="97" t="s">
        <v>157</v>
      </c>
      <c r="AD171" s="97" t="s">
        <v>132</v>
      </c>
      <c r="AE171" s="97" t="s">
        <v>169</v>
      </c>
      <c r="AF171" s="97" t="s">
        <v>134</v>
      </c>
      <c r="AG171" s="97" t="s">
        <v>31</v>
      </c>
      <c r="AH171" s="97">
        <v>1134</v>
      </c>
      <c r="AI171" s="97"/>
      <c r="AJ171" s="97">
        <v>900</v>
      </c>
      <c r="AK171" s="97">
        <v>26</v>
      </c>
      <c r="AL171" s="97">
        <v>0</v>
      </c>
      <c r="AM171" s="97">
        <v>130</v>
      </c>
      <c r="AN171" s="97">
        <v>10</v>
      </c>
      <c r="AO171" s="97">
        <v>8</v>
      </c>
      <c r="AP171" s="99">
        <v>0</v>
      </c>
      <c r="AQ171" s="97">
        <v>24</v>
      </c>
      <c r="AR171" s="61">
        <v>33</v>
      </c>
      <c r="AS171" s="60">
        <v>15</v>
      </c>
      <c r="AT171" s="60">
        <v>40</v>
      </c>
      <c r="AU171" s="60">
        <v>4</v>
      </c>
      <c r="AV171" s="60">
        <v>4</v>
      </c>
      <c r="AW171" s="60">
        <v>4</v>
      </c>
      <c r="AX171" s="64">
        <v>0</v>
      </c>
      <c r="AY171" s="60">
        <v>17</v>
      </c>
      <c r="AZ171" s="61">
        <v>15</v>
      </c>
      <c r="BA171" s="60">
        <v>48</v>
      </c>
      <c r="BB171" s="60">
        <v>2</v>
      </c>
      <c r="BC171" s="60" t="e">
        <f>VLOOKUP($B$9,#REF!,2,TRUE)</f>
        <v>#REF!</v>
      </c>
      <c r="BD171" s="60" t="s">
        <v>31</v>
      </c>
      <c r="BE171" s="60"/>
      <c r="BG171" s="48"/>
      <c r="BH171" s="48"/>
      <c r="BI171" s="75"/>
      <c r="BJ171" s="48">
        <v>8</v>
      </c>
      <c r="BK171" s="73">
        <v>8</v>
      </c>
      <c r="BL171" s="48"/>
    </row>
    <row r="172" spans="1:64" s="45" customFormat="1" ht="16.5" customHeight="1">
      <c r="A172" s="95">
        <v>46</v>
      </c>
      <c r="B172" s="96" t="s">
        <v>178</v>
      </c>
      <c r="C172" s="97" t="s">
        <v>179</v>
      </c>
      <c r="D172" s="97" t="s">
        <v>180</v>
      </c>
      <c r="E172" s="97" t="s">
        <v>181</v>
      </c>
      <c r="F172" s="97" t="s">
        <v>163</v>
      </c>
      <c r="G172" s="96" t="s">
        <v>182</v>
      </c>
      <c r="H172" s="96" t="s">
        <v>123</v>
      </c>
      <c r="I172" s="96" t="s">
        <v>151</v>
      </c>
      <c r="J172" s="96" t="s">
        <v>183</v>
      </c>
      <c r="K172" s="98" t="s">
        <v>166</v>
      </c>
      <c r="L172" s="97">
        <v>969</v>
      </c>
      <c r="M172" s="96" t="s">
        <v>154</v>
      </c>
      <c r="N172" s="96"/>
      <c r="O172" s="97" t="s">
        <v>128</v>
      </c>
      <c r="P172" s="97" t="s">
        <v>31</v>
      </c>
      <c r="Q172" s="97" t="s">
        <v>31</v>
      </c>
      <c r="R172" s="97" t="s">
        <v>31</v>
      </c>
      <c r="S172" s="97" t="s">
        <v>184</v>
      </c>
      <c r="T172" s="97">
        <v>4</v>
      </c>
      <c r="U172" s="97">
        <v>12</v>
      </c>
      <c r="V172" s="97">
        <v>0</v>
      </c>
      <c r="W172" s="97">
        <v>2</v>
      </c>
      <c r="X172" s="97" t="s">
        <v>168</v>
      </c>
      <c r="Y172" s="97" t="s">
        <v>168</v>
      </c>
      <c r="Z172" s="97" t="e">
        <v>#N/A</v>
      </c>
      <c r="AA172" s="97" t="e">
        <v>#N/A</v>
      </c>
      <c r="AB172" s="97"/>
      <c r="AC172" s="97" t="s">
        <v>157</v>
      </c>
      <c r="AD172" s="97" t="s">
        <v>132</v>
      </c>
      <c r="AE172" s="97" t="s">
        <v>169</v>
      </c>
      <c r="AF172" s="97" t="s">
        <v>134</v>
      </c>
      <c r="AG172" s="97" t="s">
        <v>31</v>
      </c>
      <c r="AH172" s="97">
        <v>1148</v>
      </c>
      <c r="AI172" s="97">
        <v>900</v>
      </c>
      <c r="AJ172" s="97">
        <v>900</v>
      </c>
      <c r="AK172" s="97">
        <v>24</v>
      </c>
      <c r="AL172" s="97">
        <v>0</v>
      </c>
      <c r="AM172" s="97">
        <v>120</v>
      </c>
      <c r="AN172" s="97">
        <v>20</v>
      </c>
      <c r="AO172" s="97">
        <v>16</v>
      </c>
      <c r="AP172" s="97">
        <v>0</v>
      </c>
      <c r="AQ172" s="97">
        <v>28</v>
      </c>
      <c r="AR172" s="61">
        <v>33</v>
      </c>
      <c r="AS172" s="60">
        <v>16</v>
      </c>
      <c r="AT172" s="60">
        <v>40</v>
      </c>
      <c r="AU172" s="60">
        <v>4</v>
      </c>
      <c r="AV172" s="60">
        <v>4</v>
      </c>
      <c r="AW172" s="60">
        <v>4</v>
      </c>
      <c r="AX172" s="60">
        <v>0</v>
      </c>
      <c r="AY172" s="60">
        <v>15</v>
      </c>
      <c r="AZ172" s="61">
        <v>15</v>
      </c>
      <c r="BA172" s="60">
        <v>48</v>
      </c>
      <c r="BB172" s="60">
        <v>2</v>
      </c>
      <c r="BC172" s="60" t="e">
        <f>VLOOKUP($B$9,#REF!,2,TRUE)</f>
        <v>#REF!</v>
      </c>
      <c r="BD172" s="60" t="s">
        <v>31</v>
      </c>
      <c r="BE172" s="60"/>
      <c r="BG172" s="48"/>
      <c r="BH172" s="48"/>
      <c r="BI172" s="48"/>
      <c r="BJ172" s="48">
        <v>8</v>
      </c>
      <c r="BK172" s="73">
        <v>8</v>
      </c>
      <c r="BL172" s="49"/>
    </row>
    <row r="173" spans="1:64" s="45" customFormat="1" ht="16.5" customHeight="1">
      <c r="A173" s="95">
        <v>12</v>
      </c>
      <c r="B173" s="96" t="s">
        <v>221</v>
      </c>
      <c r="C173" s="97" t="s">
        <v>222</v>
      </c>
      <c r="D173" s="97" t="s">
        <v>223</v>
      </c>
      <c r="E173" s="97" t="s">
        <v>224</v>
      </c>
      <c r="F173" s="97" t="s">
        <v>225</v>
      </c>
      <c r="G173" s="96" t="s">
        <v>226</v>
      </c>
      <c r="H173" s="96" t="s">
        <v>123</v>
      </c>
      <c r="I173" s="96" t="s">
        <v>151</v>
      </c>
      <c r="J173" s="96" t="s">
        <v>227</v>
      </c>
      <c r="K173" s="98" t="s">
        <v>228</v>
      </c>
      <c r="L173" s="97" t="s">
        <v>229</v>
      </c>
      <c r="M173" s="96" t="s">
        <v>154</v>
      </c>
      <c r="N173" s="96"/>
      <c r="O173" s="97" t="s">
        <v>128</v>
      </c>
      <c r="P173" s="97" t="s">
        <v>31</v>
      </c>
      <c r="Q173" s="97" t="s">
        <v>31</v>
      </c>
      <c r="R173" s="97" t="s">
        <v>31</v>
      </c>
      <c r="S173" s="97" t="s">
        <v>184</v>
      </c>
      <c r="T173" s="97">
        <v>4</v>
      </c>
      <c r="U173" s="97">
        <v>12</v>
      </c>
      <c r="V173" s="97">
        <v>0</v>
      </c>
      <c r="W173" s="97">
        <v>2</v>
      </c>
      <c r="X173" s="97" t="s">
        <v>168</v>
      </c>
      <c r="Y173" s="97" t="s">
        <v>168</v>
      </c>
      <c r="Z173" s="97" t="e">
        <v>#N/A</v>
      </c>
      <c r="AA173" s="97" t="e">
        <v>#N/A</v>
      </c>
      <c r="AB173" s="97"/>
      <c r="AC173" s="97" t="s">
        <v>157</v>
      </c>
      <c r="AD173" s="97" t="s">
        <v>132</v>
      </c>
      <c r="AE173" s="97" t="s">
        <v>133</v>
      </c>
      <c r="AF173" s="97" t="s">
        <v>134</v>
      </c>
      <c r="AG173" s="97" t="s">
        <v>31</v>
      </c>
      <c r="AH173" s="97">
        <v>1148</v>
      </c>
      <c r="AI173" s="97">
        <v>700</v>
      </c>
      <c r="AJ173" s="97">
        <v>900</v>
      </c>
      <c r="AK173" s="97">
        <v>24</v>
      </c>
      <c r="AL173" s="97">
        <v>0</v>
      </c>
      <c r="AM173" s="97">
        <v>120</v>
      </c>
      <c r="AN173" s="97">
        <v>20</v>
      </c>
      <c r="AO173" s="97">
        <v>16</v>
      </c>
      <c r="AP173" s="99">
        <v>0</v>
      </c>
      <c r="AQ173" s="97">
        <v>28</v>
      </c>
      <c r="AR173" s="61">
        <v>33</v>
      </c>
      <c r="AS173" s="60">
        <v>16</v>
      </c>
      <c r="AT173" s="60">
        <v>40</v>
      </c>
      <c r="AU173" s="60">
        <v>4</v>
      </c>
      <c r="AV173" s="60">
        <v>4</v>
      </c>
      <c r="AW173" s="60">
        <v>4</v>
      </c>
      <c r="AX173" s="64">
        <v>0</v>
      </c>
      <c r="AY173" s="60">
        <v>15</v>
      </c>
      <c r="AZ173" s="61">
        <v>15</v>
      </c>
      <c r="BA173" s="60">
        <v>48</v>
      </c>
      <c r="BB173" s="60">
        <v>2</v>
      </c>
      <c r="BC173" s="60" t="e">
        <f>VLOOKUP($B$9,#REF!,2,TRUE)</f>
        <v>#REF!</v>
      </c>
      <c r="BD173" s="60" t="s">
        <v>31</v>
      </c>
      <c r="BE173" s="60"/>
      <c r="BG173" s="48"/>
      <c r="BH173" s="48"/>
      <c r="BI173" s="48"/>
      <c r="BJ173" s="48">
        <v>8</v>
      </c>
      <c r="BK173" s="73">
        <v>8</v>
      </c>
      <c r="BL173" s="48"/>
    </row>
    <row r="174" spans="1:64" s="45" customFormat="1" ht="16.5" customHeight="1">
      <c r="A174" s="95">
        <v>4</v>
      </c>
      <c r="B174" s="96" t="s">
        <v>170</v>
      </c>
      <c r="C174" s="97" t="s">
        <v>171</v>
      </c>
      <c r="D174" s="97" t="s">
        <v>172</v>
      </c>
      <c r="E174" s="97" t="s">
        <v>173</v>
      </c>
      <c r="F174" s="97" t="s">
        <v>163</v>
      </c>
      <c r="G174" s="96" t="s">
        <v>174</v>
      </c>
      <c r="H174" s="96" t="s">
        <v>123</v>
      </c>
      <c r="I174" s="96" t="s">
        <v>151</v>
      </c>
      <c r="J174" s="96" t="s">
        <v>175</v>
      </c>
      <c r="K174" s="98" t="s">
        <v>166</v>
      </c>
      <c r="L174" s="97" t="s">
        <v>176</v>
      </c>
      <c r="M174" s="96" t="s">
        <v>154</v>
      </c>
      <c r="N174" s="96"/>
      <c r="O174" s="97" t="s">
        <v>128</v>
      </c>
      <c r="P174" s="97" t="s">
        <v>31</v>
      </c>
      <c r="Q174" s="97" t="s">
        <v>31</v>
      </c>
      <c r="R174" s="97" t="s">
        <v>31</v>
      </c>
      <c r="S174" s="97" t="s">
        <v>177</v>
      </c>
      <c r="T174" s="97">
        <v>3</v>
      </c>
      <c r="U174" s="97">
        <v>14</v>
      </c>
      <c r="V174" s="97">
        <v>0</v>
      </c>
      <c r="W174" s="97">
        <v>2</v>
      </c>
      <c r="X174" s="97" t="s">
        <v>168</v>
      </c>
      <c r="Y174" s="97" t="s">
        <v>168</v>
      </c>
      <c r="Z174" s="97" t="e">
        <v>#N/A</v>
      </c>
      <c r="AA174" s="97" t="e">
        <v>#N/A</v>
      </c>
      <c r="AB174" s="97"/>
      <c r="AC174" s="97" t="s">
        <v>157</v>
      </c>
      <c r="AD174" s="97" t="s">
        <v>132</v>
      </c>
      <c r="AE174" s="97" t="s">
        <v>169</v>
      </c>
      <c r="AF174" s="97" t="s">
        <v>134</v>
      </c>
      <c r="AG174" s="97" t="s">
        <v>31</v>
      </c>
      <c r="AH174" s="97">
        <v>1261</v>
      </c>
      <c r="AI174" s="97">
        <v>900</v>
      </c>
      <c r="AJ174" s="97">
        <v>900</v>
      </c>
      <c r="AK174" s="97">
        <v>28</v>
      </c>
      <c r="AL174" s="97">
        <v>0</v>
      </c>
      <c r="AM174" s="97">
        <v>140</v>
      </c>
      <c r="AN174" s="97">
        <v>15</v>
      </c>
      <c r="AO174" s="97">
        <v>12</v>
      </c>
      <c r="AP174" s="97">
        <v>0</v>
      </c>
      <c r="AQ174" s="97">
        <v>28</v>
      </c>
      <c r="AR174" s="63">
        <v>36</v>
      </c>
      <c r="AS174" s="62">
        <v>17</v>
      </c>
      <c r="AT174" s="62">
        <v>40</v>
      </c>
      <c r="AU174" s="62">
        <v>4</v>
      </c>
      <c r="AV174" s="62">
        <v>4</v>
      </c>
      <c r="AW174" s="62">
        <v>4</v>
      </c>
      <c r="AX174" s="62">
        <v>0</v>
      </c>
      <c r="AY174" s="62">
        <v>17</v>
      </c>
      <c r="AZ174" s="63">
        <v>15</v>
      </c>
      <c r="BA174" s="62">
        <v>48</v>
      </c>
      <c r="BB174" s="62">
        <v>2</v>
      </c>
      <c r="BC174" s="62" t="e">
        <f>VLOOKUP($B$9,#REF!,2,TRUE)</f>
        <v>#REF!</v>
      </c>
      <c r="BD174" s="62" t="s">
        <v>31</v>
      </c>
      <c r="BE174" s="62"/>
      <c r="BG174" s="48"/>
      <c r="BH174" s="48"/>
      <c r="BI174" s="48"/>
      <c r="BJ174" s="48">
        <v>8</v>
      </c>
      <c r="BK174" s="73">
        <v>8</v>
      </c>
      <c r="BL174" s="49"/>
    </row>
    <row r="175" spans="1:64" s="45" customFormat="1" ht="16.5" customHeight="1">
      <c r="A175" s="109">
        <v>61</v>
      </c>
      <c r="B175" s="110">
        <v>7193</v>
      </c>
      <c r="C175" s="111" t="s">
        <v>119</v>
      </c>
      <c r="D175" s="111" t="s">
        <v>120</v>
      </c>
      <c r="E175" s="111" t="s">
        <v>121</v>
      </c>
      <c r="F175" s="111" t="s">
        <v>122</v>
      </c>
      <c r="G175" s="110">
        <v>38105</v>
      </c>
      <c r="H175" s="110" t="s">
        <v>123</v>
      </c>
      <c r="I175" s="110" t="s">
        <v>124</v>
      </c>
      <c r="J175" s="110" t="s">
        <v>125</v>
      </c>
      <c r="K175" s="113" t="s">
        <v>126</v>
      </c>
      <c r="L175" s="111">
        <v>1561</v>
      </c>
      <c r="M175" s="110" t="s">
        <v>127</v>
      </c>
      <c r="N175" s="110"/>
      <c r="O175" s="111" t="s">
        <v>128</v>
      </c>
      <c r="P175" s="111" t="s">
        <v>31</v>
      </c>
      <c r="Q175" s="111" t="s">
        <v>31</v>
      </c>
      <c r="R175" s="111" t="s">
        <v>31</v>
      </c>
      <c r="S175" s="111"/>
      <c r="T175" s="111">
        <v>36</v>
      </c>
      <c r="U175" s="111">
        <v>0</v>
      </c>
      <c r="V175" s="111" t="s">
        <v>129</v>
      </c>
      <c r="W175" s="111">
        <v>10</v>
      </c>
      <c r="X175" s="116" t="s">
        <v>130</v>
      </c>
      <c r="Y175" s="116"/>
      <c r="Z175" s="116"/>
      <c r="AA175" s="116"/>
      <c r="AB175" s="118"/>
      <c r="AC175" s="111" t="s">
        <v>131</v>
      </c>
      <c r="AD175" s="111" t="s">
        <v>132</v>
      </c>
      <c r="AE175" s="111" t="s">
        <v>133</v>
      </c>
      <c r="AF175" s="111" t="s">
        <v>134</v>
      </c>
      <c r="AG175" s="111" t="s">
        <v>31</v>
      </c>
      <c r="AH175" s="111">
        <v>781</v>
      </c>
      <c r="AI175" s="111"/>
      <c r="AJ175" s="111" t="s">
        <v>135</v>
      </c>
      <c r="AK175" s="111">
        <v>0</v>
      </c>
      <c r="AL175" s="111"/>
      <c r="AM175" s="111">
        <v>0</v>
      </c>
      <c r="AN175" s="111">
        <v>0</v>
      </c>
      <c r="AO175" s="111">
        <v>48</v>
      </c>
      <c r="AP175" s="94">
        <v>26</v>
      </c>
      <c r="AQ175" s="111" t="s">
        <v>136</v>
      </c>
      <c r="AR175" s="81">
        <v>15</v>
      </c>
      <c r="AS175" s="66"/>
      <c r="AT175" s="66"/>
      <c r="AU175" s="66">
        <v>4</v>
      </c>
      <c r="AV175" s="66">
        <v>0</v>
      </c>
      <c r="AW175" s="66">
        <v>0</v>
      </c>
      <c r="AX175" s="67">
        <v>40</v>
      </c>
      <c r="AY175" s="66">
        <v>0</v>
      </c>
      <c r="AZ175" s="81">
        <v>0</v>
      </c>
      <c r="BA175" s="66">
        <v>0</v>
      </c>
      <c r="BB175" s="66">
        <v>0</v>
      </c>
      <c r="BC175" s="66"/>
      <c r="BD175" s="66"/>
      <c r="BE175" s="66"/>
      <c r="BF175" s="119"/>
      <c r="BG175" s="119"/>
      <c r="BH175" s="119"/>
      <c r="BI175" s="120">
        <v>8</v>
      </c>
      <c r="BJ175" s="48">
        <v>8</v>
      </c>
      <c r="BK175" s="108"/>
      <c r="BL175" s="48"/>
    </row>
    <row r="176" spans="1:64" s="45" customFormat="1" ht="16.5" customHeight="1">
      <c r="A176" s="109"/>
      <c r="B176" s="110" t="s">
        <v>1273</v>
      </c>
      <c r="C176" s="111" t="s">
        <v>1274</v>
      </c>
      <c r="D176" s="111" t="s">
        <v>1275</v>
      </c>
      <c r="E176" s="111" t="s">
        <v>1276</v>
      </c>
      <c r="F176" s="111" t="s">
        <v>296</v>
      </c>
      <c r="G176" s="111">
        <v>63127</v>
      </c>
      <c r="H176" s="111" t="s">
        <v>123</v>
      </c>
      <c r="I176" s="111" t="s">
        <v>124</v>
      </c>
      <c r="J176" s="111"/>
      <c r="K176" s="112" t="s">
        <v>574</v>
      </c>
      <c r="L176" s="111">
        <v>470</v>
      </c>
      <c r="M176" s="111" t="s">
        <v>138</v>
      </c>
      <c r="N176" s="111"/>
      <c r="O176" s="111" t="s">
        <v>145</v>
      </c>
      <c r="P176" s="111" t="s">
        <v>28</v>
      </c>
      <c r="Q176" s="111"/>
      <c r="R176" s="111" t="s">
        <v>31</v>
      </c>
      <c r="S176" s="111" t="s">
        <v>28</v>
      </c>
      <c r="T176" s="111">
        <v>0</v>
      </c>
      <c r="U176" s="111" t="s">
        <v>1277</v>
      </c>
      <c r="V176" s="111" t="s">
        <v>1278</v>
      </c>
      <c r="W176" s="111">
        <v>1</v>
      </c>
      <c r="X176" s="114" t="s">
        <v>1279</v>
      </c>
      <c r="Y176" s="111" t="e">
        <v>#N/A</v>
      </c>
      <c r="Z176" s="111" t="e">
        <v>#N/A</v>
      </c>
      <c r="AA176" s="111" t="e">
        <v>#N/A</v>
      </c>
      <c r="AB176" s="111"/>
      <c r="AC176" s="111" t="s">
        <v>157</v>
      </c>
      <c r="AD176" s="111" t="s">
        <v>139</v>
      </c>
      <c r="AE176" s="111" t="s">
        <v>1280</v>
      </c>
      <c r="AF176" s="111" t="s">
        <v>134</v>
      </c>
      <c r="AG176" s="111" t="s">
        <v>1281</v>
      </c>
      <c r="AH176" s="111">
        <v>600</v>
      </c>
      <c r="AI176" s="111"/>
      <c r="AJ176" s="111"/>
      <c r="AK176" s="111">
        <v>6</v>
      </c>
      <c r="AL176" s="111">
        <v>30</v>
      </c>
      <c r="AM176" s="111">
        <v>0</v>
      </c>
      <c r="AN176" s="111">
        <v>0</v>
      </c>
      <c r="AO176" s="111">
        <v>0</v>
      </c>
      <c r="AP176" s="116">
        <v>24</v>
      </c>
      <c r="AQ176" s="111" t="s">
        <v>1282</v>
      </c>
      <c r="AR176" s="66">
        <v>0</v>
      </c>
      <c r="AS176" s="66">
        <v>0</v>
      </c>
      <c r="AT176" s="66">
        <v>48</v>
      </c>
      <c r="AU176" s="66"/>
      <c r="AV176" s="66">
        <v>0</v>
      </c>
      <c r="AW176" s="66">
        <v>0</v>
      </c>
      <c r="AX176" s="66">
        <v>0</v>
      </c>
      <c r="AY176" s="66" t="s">
        <v>1283</v>
      </c>
      <c r="AZ176" s="66">
        <v>0</v>
      </c>
      <c r="BA176" s="66">
        <v>0</v>
      </c>
      <c r="BB176" s="66">
        <v>0</v>
      </c>
      <c r="BC176" s="66" t="e">
        <f>VLOOKUP($B$9,#REF!,2,TRUE)</f>
        <v>#REF!</v>
      </c>
      <c r="BD176" s="66" t="s">
        <v>28</v>
      </c>
      <c r="BE176" s="66"/>
      <c r="BF176" s="46"/>
      <c r="BG176" s="46"/>
      <c r="BH176" s="46"/>
      <c r="BI176" s="48">
        <v>8</v>
      </c>
      <c r="BJ176" s="48">
        <v>8</v>
      </c>
      <c r="BK176" s="48">
        <v>8</v>
      </c>
      <c r="BL176" s="76"/>
    </row>
    <row r="177" spans="1:63" ht="13.15" customHeight="1">
      <c r="A177" s="95"/>
      <c r="B177" s="96" t="s">
        <v>1285</v>
      </c>
      <c r="C177" s="97" t="s">
        <v>140</v>
      </c>
      <c r="D177" s="97" t="s">
        <v>141</v>
      </c>
      <c r="E177" s="97" t="s">
        <v>142</v>
      </c>
      <c r="F177" s="97" t="s">
        <v>143</v>
      </c>
      <c r="G177" s="96">
        <v>44484</v>
      </c>
      <c r="H177" s="96" t="s">
        <v>123</v>
      </c>
      <c r="I177" s="96" t="s">
        <v>151</v>
      </c>
      <c r="J177" s="101" t="s">
        <v>1284</v>
      </c>
      <c r="K177" s="102"/>
      <c r="L177" s="97"/>
      <c r="M177" s="103" t="s">
        <v>138</v>
      </c>
      <c r="N177" s="103"/>
      <c r="O177" s="97"/>
      <c r="P177" s="97" t="s">
        <v>28</v>
      </c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 t="s">
        <v>144</v>
      </c>
      <c r="AE177" s="97"/>
      <c r="AF177" s="97"/>
      <c r="AG177" s="97"/>
      <c r="AH177" s="97"/>
      <c r="AI177" s="97"/>
      <c r="AJ177" s="97"/>
      <c r="AK177" s="97">
        <v>12</v>
      </c>
      <c r="AL177" s="97"/>
      <c r="AM177" s="97"/>
      <c r="AN177" s="97"/>
      <c r="AO177" s="97"/>
      <c r="AP177" s="99"/>
      <c r="AQ177" s="97"/>
      <c r="AR177" s="83"/>
      <c r="AS177" s="82"/>
      <c r="AT177" s="82"/>
      <c r="AU177" s="82"/>
      <c r="AV177" s="82"/>
      <c r="AW177" s="82"/>
      <c r="AX177" s="107"/>
      <c r="AY177" s="82"/>
      <c r="AZ177" s="83"/>
      <c r="BA177" s="82"/>
      <c r="BB177" s="82"/>
      <c r="BC177" s="82"/>
      <c r="BD177" s="82"/>
      <c r="BE177" s="82"/>
      <c r="BF177" s="46"/>
      <c r="BG177" s="75"/>
      <c r="BH177" s="75"/>
      <c r="BI177" s="48"/>
      <c r="BJ177" s="48"/>
      <c r="BK177" s="73">
        <v>8</v>
      </c>
    </row>
    <row r="178" spans="1:63" ht="12.75" customHeight="1">
      <c r="A178" s="126" t="s">
        <v>1289</v>
      </c>
      <c r="B178" s="127">
        <f>SUBTOTAL(103,Table1[STORE '#])</f>
        <v>171</v>
      </c>
      <c r="C178" s="128"/>
      <c r="D178" s="128"/>
      <c r="E178" s="128"/>
      <c r="F178" s="128"/>
      <c r="G178" s="127"/>
      <c r="H178" s="127"/>
      <c r="I178" s="127"/>
      <c r="J178" s="127"/>
      <c r="K178" s="129"/>
      <c r="L178" s="128"/>
      <c r="M178" s="127"/>
      <c r="N178" s="127"/>
      <c r="O178" s="128"/>
      <c r="P178" s="128"/>
      <c r="Q178" s="128"/>
      <c r="R178" s="128"/>
      <c r="S178" s="128"/>
      <c r="T178" s="128"/>
      <c r="U178" s="128"/>
      <c r="V178" s="128"/>
      <c r="W178" s="128"/>
      <c r="X178" s="130"/>
      <c r="Y178" s="128"/>
      <c r="Z178" s="128"/>
      <c r="AA178" s="128"/>
      <c r="AB178" s="128"/>
      <c r="AC178" s="128"/>
      <c r="AD178" s="128"/>
      <c r="AE178" s="130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30"/>
      <c r="AQ178" s="128"/>
      <c r="AR178" s="131"/>
      <c r="AS178" s="132"/>
      <c r="AT178" s="132"/>
      <c r="AU178" s="132"/>
      <c r="AV178" s="132"/>
      <c r="AW178" s="132"/>
      <c r="AX178"/>
      <c r="AY178" s="132"/>
      <c r="AZ178" s="131"/>
      <c r="BA178" s="132"/>
      <c r="BB178" s="132"/>
      <c r="BC178" s="132"/>
      <c r="BD178" s="132"/>
      <c r="BE178" s="132"/>
      <c r="BF178" s="133"/>
      <c r="BG178" s="134"/>
      <c r="BH178" s="134"/>
      <c r="BI178" s="135">
        <f>SUBTOTAL(109,Table1[SGO 24-001-01])</f>
        <v>16</v>
      </c>
      <c r="BJ178" s="135">
        <f>SUBTOTAL(109,Table1[SGO 24-001-02])</f>
        <v>1360</v>
      </c>
      <c r="BK178" s="135">
        <f>SUBTOTAL(109,Table1[SGO 24-001-03])</f>
        <v>1336</v>
      </c>
    </row>
    <row r="179" spans="1:63" ht="12.75" customHeight="1">
      <c r="AD179" s="42"/>
    </row>
    <row r="180" spans="1:63" ht="12.75" customHeight="1">
      <c r="X180" s="65"/>
      <c r="AD180" s="42"/>
    </row>
    <row r="181" spans="1:63" ht="12.75" customHeight="1">
      <c r="AD181" s="42"/>
    </row>
    <row r="182" spans="1:63" ht="12.75" customHeight="1">
      <c r="AD182" s="42"/>
    </row>
    <row r="183" spans="1:63" ht="12.75" customHeight="1">
      <c r="AD183" s="42"/>
    </row>
    <row r="184" spans="1:63" ht="12.75" customHeight="1">
      <c r="AD184" s="42"/>
    </row>
    <row r="185" spans="1:63" ht="12.75" customHeight="1">
      <c r="AD185" s="42"/>
    </row>
    <row r="186" spans="1:63" ht="12.75" customHeight="1">
      <c r="AD186" s="42"/>
    </row>
    <row r="187" spans="1:63" ht="12.75" customHeight="1">
      <c r="AD187" s="42"/>
    </row>
    <row r="188" spans="1:63" ht="12.75" customHeight="1">
      <c r="AD188" s="42"/>
    </row>
    <row r="189" spans="1:63" ht="12.75" customHeight="1">
      <c r="AD189" s="42"/>
    </row>
    <row r="190" spans="1:63" ht="12.75" customHeight="1">
      <c r="AD190" s="42"/>
    </row>
    <row r="191" spans="1:63" ht="12.75" customHeight="1">
      <c r="AD191" s="42"/>
    </row>
    <row r="192" spans="1:63" ht="12.75" customHeight="1">
      <c r="AD192" s="42"/>
    </row>
    <row r="193" spans="30:30" ht="12.75" customHeight="1">
      <c r="AD193" s="42"/>
    </row>
    <row r="194" spans="30:30" ht="12.75" customHeight="1">
      <c r="AD194" s="42"/>
    </row>
    <row r="195" spans="30:30" ht="12.75" customHeight="1">
      <c r="AD195" s="42"/>
    </row>
    <row r="196" spans="30:30" ht="12.75" customHeight="1">
      <c r="AD196" s="42"/>
    </row>
    <row r="197" spans="30:30" ht="12.75" customHeight="1">
      <c r="AD197" s="42"/>
    </row>
    <row r="198" spans="30:30" ht="12.75" customHeight="1">
      <c r="AD198" s="42"/>
    </row>
    <row r="199" spans="30:30" ht="12.75" customHeight="1">
      <c r="AD199" s="42"/>
    </row>
    <row r="200" spans="30:30" ht="12.75" customHeight="1">
      <c r="AD200" s="42"/>
    </row>
    <row r="201" spans="30:30" ht="12.75" customHeight="1">
      <c r="AD201" s="42"/>
    </row>
    <row r="202" spans="30:30" ht="12.75" customHeight="1">
      <c r="AD202" s="42"/>
    </row>
    <row r="203" spans="30:30" ht="12.75" customHeight="1">
      <c r="AD203" s="42"/>
    </row>
    <row r="204" spans="30:30" ht="12.75" customHeight="1">
      <c r="AD204" s="42"/>
    </row>
    <row r="205" spans="30:30" ht="12.75" customHeight="1">
      <c r="AD205" s="42"/>
    </row>
    <row r="206" spans="30:30" ht="12.75" customHeight="1">
      <c r="AD206" s="42"/>
    </row>
    <row r="207" spans="30:30" ht="12.75" customHeight="1">
      <c r="AD207" s="42"/>
    </row>
    <row r="208" spans="30:30" ht="12.75" customHeight="1">
      <c r="AD208" s="42"/>
    </row>
    <row r="209" spans="30:30" ht="12.75" customHeight="1">
      <c r="AD209" s="42"/>
    </row>
    <row r="210" spans="30:30" ht="12.75" customHeight="1">
      <c r="AD210" s="42"/>
    </row>
    <row r="211" spans="30:30" ht="12.75" customHeight="1">
      <c r="AD211" s="42"/>
    </row>
    <row r="212" spans="30:30" ht="12.75" customHeight="1">
      <c r="AD212" s="42"/>
    </row>
    <row r="213" spans="30:30" ht="12.75" customHeight="1">
      <c r="AD213" s="42"/>
    </row>
    <row r="214" spans="30:30" ht="12.75" customHeight="1">
      <c r="AD214" s="42"/>
    </row>
    <row r="215" spans="30:30" ht="12.75" customHeight="1">
      <c r="AD215" s="42"/>
    </row>
    <row r="216" spans="30:30" ht="12.75" customHeight="1">
      <c r="AD216" s="42"/>
    </row>
    <row r="217" spans="30:30" ht="12.75" customHeight="1">
      <c r="AD217" s="42"/>
    </row>
    <row r="218" spans="30:30" ht="12.75" customHeight="1">
      <c r="AD218" s="42"/>
    </row>
    <row r="219" spans="30:30" ht="12.75" customHeight="1">
      <c r="AD219" s="42"/>
    </row>
    <row r="220" spans="30:30" ht="12.75" customHeight="1">
      <c r="AD220" s="42"/>
    </row>
    <row r="221" spans="30:30" ht="12.75" customHeight="1">
      <c r="AD221" s="42"/>
    </row>
    <row r="222" spans="30:30" ht="12.75" customHeight="1">
      <c r="AD222" s="42"/>
    </row>
    <row r="223" spans="30:30" ht="12.75" customHeight="1">
      <c r="AD223" s="42"/>
    </row>
    <row r="224" spans="30:30" ht="12.75" customHeight="1">
      <c r="AD224" s="42"/>
    </row>
    <row r="225" spans="30:30" ht="12.75" customHeight="1">
      <c r="AD225" s="42"/>
    </row>
    <row r="226" spans="30:30" ht="12.75" customHeight="1">
      <c r="AD226" s="42"/>
    </row>
    <row r="227" spans="30:30" ht="12.75" customHeight="1">
      <c r="AD227" s="42"/>
    </row>
    <row r="228" spans="30:30" ht="12.75" customHeight="1">
      <c r="AD228" s="42"/>
    </row>
    <row r="229" spans="30:30" ht="12.75" customHeight="1">
      <c r="AD229" s="42"/>
    </row>
    <row r="230" spans="30:30" ht="12.75" customHeight="1">
      <c r="AD230" s="42"/>
    </row>
    <row r="231" spans="30:30" ht="12.75" customHeight="1">
      <c r="AD231" s="42"/>
    </row>
    <row r="232" spans="30:30" ht="12.75" customHeight="1">
      <c r="AD232" s="42"/>
    </row>
    <row r="233" spans="30:30" ht="12.75" customHeight="1">
      <c r="AD233" s="42"/>
    </row>
    <row r="234" spans="30:30" ht="12.75" customHeight="1">
      <c r="AD234" s="42"/>
    </row>
    <row r="235" spans="30:30" ht="12.75" customHeight="1">
      <c r="AD235" s="42"/>
    </row>
    <row r="236" spans="30:30" ht="12.75" customHeight="1">
      <c r="AD236" s="42"/>
    </row>
    <row r="237" spans="30:30" ht="12.75" customHeight="1">
      <c r="AD237" s="42"/>
    </row>
    <row r="238" spans="30:30" ht="12.75" customHeight="1">
      <c r="AD238" s="42"/>
    </row>
    <row r="239" spans="30:30" ht="12.75" customHeight="1">
      <c r="AD239" s="42"/>
    </row>
    <row r="240" spans="30:30" ht="12.75" customHeight="1">
      <c r="AD240" s="42"/>
    </row>
    <row r="241" spans="30:30" ht="12.75" customHeight="1">
      <c r="AD241" s="42"/>
    </row>
    <row r="242" spans="30:30" ht="12.75" customHeight="1">
      <c r="AD242" s="42"/>
    </row>
    <row r="243" spans="30:30" ht="12.75" customHeight="1">
      <c r="AD243" s="42"/>
    </row>
    <row r="244" spans="30:30" ht="12.75" customHeight="1">
      <c r="AD244" s="42"/>
    </row>
    <row r="245" spans="30:30" ht="12.75" customHeight="1">
      <c r="AD245" s="42"/>
    </row>
    <row r="246" spans="30:30" ht="12.75" customHeight="1">
      <c r="AD246" s="42"/>
    </row>
    <row r="247" spans="30:30" ht="12.75" customHeight="1">
      <c r="AD247" s="42"/>
    </row>
    <row r="248" spans="30:30" ht="12.75" customHeight="1">
      <c r="AD248" s="42"/>
    </row>
    <row r="249" spans="30:30" ht="12.75" customHeight="1">
      <c r="AD249" s="42"/>
    </row>
    <row r="250" spans="30:30" ht="12.75" customHeight="1">
      <c r="AD250" s="42"/>
    </row>
    <row r="251" spans="30:30" ht="12.75" customHeight="1">
      <c r="AD251" s="42"/>
    </row>
    <row r="252" spans="30:30" ht="12.75" customHeight="1">
      <c r="AD252" s="42"/>
    </row>
    <row r="253" spans="30:30" ht="12.75" customHeight="1">
      <c r="AD253" s="42"/>
    </row>
    <row r="254" spans="30:30" ht="12.75" customHeight="1">
      <c r="AD254" s="42"/>
    </row>
    <row r="255" spans="30:30" ht="12.75" customHeight="1">
      <c r="AD255" s="42"/>
    </row>
    <row r="256" spans="30:30" ht="12.75" customHeight="1">
      <c r="AD256" s="42"/>
    </row>
    <row r="257" spans="30:30" ht="12.75" customHeight="1">
      <c r="AD257" s="42"/>
    </row>
    <row r="258" spans="30:30" ht="12.75" customHeight="1">
      <c r="AD258" s="42"/>
    </row>
    <row r="259" spans="30:30" ht="12.75" customHeight="1">
      <c r="AD259" s="42"/>
    </row>
    <row r="260" spans="30:30" ht="12.75" customHeight="1">
      <c r="AD260" s="42"/>
    </row>
    <row r="261" spans="30:30" ht="12.75" customHeight="1">
      <c r="AD261" s="42"/>
    </row>
    <row r="262" spans="30:30" ht="12.75" customHeight="1">
      <c r="AD262" s="42"/>
    </row>
    <row r="263" spans="30:30" ht="12.75" customHeight="1">
      <c r="AD263" s="42"/>
    </row>
    <row r="264" spans="30:30" ht="12.75" customHeight="1">
      <c r="AD264" s="42"/>
    </row>
    <row r="265" spans="30:30" ht="12.75" customHeight="1">
      <c r="AD265" s="42"/>
    </row>
    <row r="266" spans="30:30" ht="12.75" customHeight="1">
      <c r="AD266" s="42"/>
    </row>
    <row r="267" spans="30:30" ht="12.75" customHeight="1">
      <c r="AD267" s="42"/>
    </row>
    <row r="268" spans="30:30" ht="12.75" customHeight="1">
      <c r="AD268" s="42"/>
    </row>
    <row r="269" spans="30:30" ht="12.75" customHeight="1">
      <c r="AD269" s="42"/>
    </row>
    <row r="270" spans="30:30" ht="12.75" customHeight="1">
      <c r="AD270" s="42"/>
    </row>
    <row r="271" spans="30:30" ht="12.75" customHeight="1">
      <c r="AD271" s="42"/>
    </row>
    <row r="272" spans="30:30" ht="12.75" customHeight="1">
      <c r="AD272" s="42"/>
    </row>
    <row r="273" spans="30:30" ht="12.75" customHeight="1">
      <c r="AD273" s="42"/>
    </row>
    <row r="274" spans="30:30" ht="12.75" customHeight="1">
      <c r="AD274" s="42"/>
    </row>
    <row r="275" spans="30:30" ht="12.75" customHeight="1">
      <c r="AD275" s="42"/>
    </row>
    <row r="276" spans="30:30" ht="12.75" customHeight="1">
      <c r="AD276" s="42"/>
    </row>
    <row r="277" spans="30:30" ht="12.75" customHeight="1">
      <c r="AD277" s="42"/>
    </row>
    <row r="278" spans="30:30" ht="12.75" customHeight="1">
      <c r="AD278" s="42"/>
    </row>
    <row r="279" spans="30:30" ht="12.75" customHeight="1">
      <c r="AD279" s="42"/>
    </row>
    <row r="280" spans="30:30" ht="12.75" customHeight="1">
      <c r="AD280" s="42"/>
    </row>
    <row r="281" spans="30:30" ht="12.75" customHeight="1">
      <c r="AD281" s="42"/>
    </row>
    <row r="282" spans="30:30" ht="12.75" customHeight="1">
      <c r="AD282" s="42"/>
    </row>
    <row r="283" spans="30:30" ht="12.75" customHeight="1">
      <c r="AD283" s="42"/>
    </row>
    <row r="284" spans="30:30" ht="12.75" customHeight="1">
      <c r="AD284" s="42"/>
    </row>
    <row r="285" spans="30:30" ht="12.75" customHeight="1">
      <c r="AD285" s="42"/>
    </row>
    <row r="286" spans="30:30" ht="12.75" customHeight="1">
      <c r="AD286" s="42"/>
    </row>
    <row r="287" spans="30:30" ht="12.75" customHeight="1">
      <c r="AD287" s="42"/>
    </row>
    <row r="288" spans="30:30" ht="12.75" customHeight="1">
      <c r="AD288" s="42"/>
    </row>
    <row r="289" spans="30:30" ht="12.75" customHeight="1">
      <c r="AD289" s="42"/>
    </row>
    <row r="290" spans="30:30" ht="12.75" customHeight="1">
      <c r="AD290" s="42"/>
    </row>
    <row r="291" spans="30:30" ht="12.75" customHeight="1">
      <c r="AD291" s="42"/>
    </row>
    <row r="292" spans="30:30" ht="12.75" customHeight="1">
      <c r="AD292" s="42"/>
    </row>
    <row r="293" spans="30:30" ht="12.75" customHeight="1">
      <c r="AD293" s="42"/>
    </row>
    <row r="294" spans="30:30" ht="12.75" customHeight="1">
      <c r="AD294" s="42"/>
    </row>
    <row r="295" spans="30:30" ht="12.75" customHeight="1">
      <c r="AD295" s="42"/>
    </row>
    <row r="296" spans="30:30" ht="12.75" customHeight="1">
      <c r="AD296" s="42"/>
    </row>
    <row r="297" spans="30:30" ht="12.75" customHeight="1">
      <c r="AD297" s="42"/>
    </row>
    <row r="298" spans="30:30" ht="12.75" customHeight="1">
      <c r="AD298" s="42"/>
    </row>
    <row r="299" spans="30:30" ht="12.75" customHeight="1">
      <c r="AD299" s="42"/>
    </row>
    <row r="300" spans="30:30" ht="12.75" customHeight="1">
      <c r="AD300" s="42"/>
    </row>
    <row r="301" spans="30:30" ht="12.75" customHeight="1">
      <c r="AD301" s="42"/>
    </row>
    <row r="302" spans="30:30" ht="12.75" customHeight="1">
      <c r="AD302" s="42"/>
    </row>
    <row r="303" spans="30:30" ht="12.75" customHeight="1">
      <c r="AD303" s="42"/>
    </row>
    <row r="304" spans="30:30" ht="12.75" customHeight="1">
      <c r="AD304" s="42"/>
    </row>
    <row r="305" spans="30:30" ht="12.75" customHeight="1">
      <c r="AD305" s="42"/>
    </row>
    <row r="306" spans="30:30" ht="12.75" customHeight="1">
      <c r="AD306" s="42"/>
    </row>
    <row r="307" spans="30:30" ht="12.75" customHeight="1">
      <c r="AD307" s="42"/>
    </row>
    <row r="308" spans="30:30" ht="12.75" customHeight="1">
      <c r="AD308" s="42"/>
    </row>
    <row r="309" spans="30:30" ht="12.75" customHeight="1">
      <c r="AD309" s="42"/>
    </row>
    <row r="310" spans="30:30" ht="12.75" customHeight="1">
      <c r="AD310" s="42"/>
    </row>
    <row r="311" spans="30:30" ht="12.75" customHeight="1">
      <c r="AD311" s="42"/>
    </row>
    <row r="312" spans="30:30" ht="12.75" customHeight="1">
      <c r="AD312" s="42"/>
    </row>
    <row r="313" spans="30:30" ht="12.75" customHeight="1">
      <c r="AD313" s="42"/>
    </row>
    <row r="314" spans="30:30" ht="12.75" customHeight="1">
      <c r="AD314" s="42"/>
    </row>
    <row r="315" spans="30:30" ht="12.75" customHeight="1">
      <c r="AD315" s="42"/>
    </row>
    <row r="316" spans="30:30" ht="12.75" customHeight="1">
      <c r="AD316" s="42"/>
    </row>
    <row r="317" spans="30:30" ht="12.75" customHeight="1">
      <c r="AD317" s="42"/>
    </row>
    <row r="318" spans="30:30" ht="12.75" customHeight="1">
      <c r="AD318" s="42"/>
    </row>
    <row r="319" spans="30:30" ht="12.75" customHeight="1">
      <c r="AD319" s="42"/>
    </row>
    <row r="320" spans="30:30" ht="12.75" customHeight="1">
      <c r="AD320" s="42"/>
    </row>
    <row r="321" spans="30:30" ht="12.75" customHeight="1">
      <c r="AD321" s="42"/>
    </row>
    <row r="322" spans="30:30" ht="12.75" customHeight="1">
      <c r="AD322" s="42"/>
    </row>
    <row r="323" spans="30:30" ht="12.75" customHeight="1">
      <c r="AD323" s="42"/>
    </row>
    <row r="324" spans="30:30" ht="12.75" customHeight="1">
      <c r="AD324" s="42"/>
    </row>
    <row r="325" spans="30:30" ht="12.75" customHeight="1">
      <c r="AD325" s="42"/>
    </row>
    <row r="326" spans="30:30" ht="12.75" customHeight="1">
      <c r="AD326" s="42"/>
    </row>
    <row r="327" spans="30:30" ht="12.75" customHeight="1">
      <c r="AD327" s="42"/>
    </row>
    <row r="328" spans="30:30" ht="12.75" customHeight="1">
      <c r="AD328" s="42"/>
    </row>
    <row r="329" spans="30:30" ht="12.75" customHeight="1">
      <c r="AD329" s="42"/>
    </row>
    <row r="330" spans="30:30" ht="12.75" customHeight="1">
      <c r="AD330" s="42"/>
    </row>
    <row r="331" spans="30:30" ht="12.75" customHeight="1">
      <c r="AD331" s="42"/>
    </row>
    <row r="332" spans="30:30" ht="12.75" customHeight="1">
      <c r="AD332" s="42"/>
    </row>
    <row r="333" spans="30:30" ht="12.75" customHeight="1">
      <c r="AD333" s="42"/>
    </row>
    <row r="334" spans="30:30" ht="12.75" customHeight="1">
      <c r="AD334" s="42"/>
    </row>
    <row r="335" spans="30:30" ht="12.75" customHeight="1">
      <c r="AD335" s="42"/>
    </row>
    <row r="336" spans="30:30" ht="12.75" customHeight="1">
      <c r="AD336" s="42"/>
    </row>
    <row r="337" spans="30:30" ht="12.75" customHeight="1">
      <c r="AD337" s="42"/>
    </row>
    <row r="338" spans="30:30" ht="12.75" customHeight="1">
      <c r="AD338" s="42"/>
    </row>
    <row r="339" spans="30:30" ht="12.75" customHeight="1">
      <c r="AD339" s="42"/>
    </row>
    <row r="340" spans="30:30" ht="12.75" customHeight="1">
      <c r="AD340" s="42"/>
    </row>
    <row r="341" spans="30:30" ht="12.75" customHeight="1">
      <c r="AD341" s="42"/>
    </row>
    <row r="342" spans="30:30" ht="12.75" customHeight="1">
      <c r="AD342" s="42"/>
    </row>
    <row r="343" spans="30:30" ht="12.75" customHeight="1">
      <c r="AD343" s="42"/>
    </row>
    <row r="344" spans="30:30" ht="12.75" customHeight="1">
      <c r="AD344" s="42"/>
    </row>
    <row r="345" spans="30:30" ht="12.75" customHeight="1">
      <c r="AD345" s="42"/>
    </row>
    <row r="346" spans="30:30" ht="12.75" customHeight="1">
      <c r="AD346" s="42"/>
    </row>
    <row r="347" spans="30:30" ht="12.75" customHeight="1">
      <c r="AD347" s="42"/>
    </row>
    <row r="348" spans="30:30" ht="12.75" customHeight="1">
      <c r="AD348" s="42"/>
    </row>
    <row r="349" spans="30:30" ht="12.75" customHeight="1">
      <c r="AD349" s="42"/>
    </row>
    <row r="350" spans="30:30" ht="12.75" customHeight="1">
      <c r="AD350" s="42"/>
    </row>
    <row r="351" spans="30:30" ht="12.75" customHeight="1">
      <c r="AD351" s="42"/>
    </row>
    <row r="352" spans="30:30" ht="12.75" customHeight="1">
      <c r="AD352" s="42"/>
    </row>
    <row r="353" spans="30:30" ht="12.75" customHeight="1">
      <c r="AD353" s="42"/>
    </row>
    <row r="354" spans="30:30" ht="12.75" customHeight="1">
      <c r="AD354" s="42"/>
    </row>
    <row r="355" spans="30:30" ht="12.75" customHeight="1">
      <c r="AD355" s="42"/>
    </row>
    <row r="356" spans="30:30" ht="12.75" customHeight="1">
      <c r="AD356" s="42"/>
    </row>
    <row r="357" spans="30:30" ht="12.75" customHeight="1">
      <c r="AD357" s="42"/>
    </row>
    <row r="358" spans="30:30" ht="12.75" customHeight="1">
      <c r="AD358" s="42"/>
    </row>
    <row r="359" spans="30:30" ht="12.75" customHeight="1">
      <c r="AD359" s="42"/>
    </row>
    <row r="360" spans="30:30" ht="12.75" customHeight="1">
      <c r="AD360" s="42"/>
    </row>
    <row r="361" spans="30:30" ht="12.75" customHeight="1">
      <c r="AD361" s="42"/>
    </row>
    <row r="362" spans="30:30" ht="12.75" customHeight="1">
      <c r="AD362" s="42"/>
    </row>
    <row r="363" spans="30:30" ht="12.75" customHeight="1">
      <c r="AD363" s="42"/>
    </row>
    <row r="364" spans="30:30" ht="12.75" customHeight="1">
      <c r="AD364" s="42"/>
    </row>
    <row r="365" spans="30:30" ht="12.75" customHeight="1">
      <c r="AD365" s="42"/>
    </row>
    <row r="366" spans="30:30" ht="12.75" customHeight="1">
      <c r="AD366" s="42"/>
    </row>
    <row r="367" spans="30:30" ht="12.75" customHeight="1">
      <c r="AD367" s="42"/>
    </row>
    <row r="368" spans="30:30" ht="12.75" customHeight="1">
      <c r="AD368" s="42"/>
    </row>
    <row r="369" spans="30:30" ht="12.75" customHeight="1">
      <c r="AD369" s="42"/>
    </row>
    <row r="370" spans="30:30" ht="12.75" customHeight="1">
      <c r="AD370" s="42"/>
    </row>
    <row r="371" spans="30:30" ht="12.75" customHeight="1">
      <c r="AD371" s="42"/>
    </row>
    <row r="372" spans="30:30" ht="12.75" customHeight="1">
      <c r="AD372" s="42"/>
    </row>
    <row r="373" spans="30:30" ht="12.75" customHeight="1">
      <c r="AD373" s="42"/>
    </row>
    <row r="374" spans="30:30" ht="12.75" customHeight="1">
      <c r="AD374" s="42"/>
    </row>
    <row r="375" spans="30:30" ht="12.75" customHeight="1">
      <c r="AD375" s="42"/>
    </row>
    <row r="376" spans="30:30" ht="12.75" customHeight="1">
      <c r="AD376" s="42"/>
    </row>
    <row r="377" spans="30:30" ht="12.75" customHeight="1">
      <c r="AD377" s="42"/>
    </row>
    <row r="378" spans="30:30" ht="12.75" customHeight="1">
      <c r="AD378" s="42"/>
    </row>
    <row r="379" spans="30:30" ht="12.75" customHeight="1">
      <c r="AD379" s="42"/>
    </row>
    <row r="380" spans="30:30" ht="12.75" customHeight="1">
      <c r="AD380" s="42"/>
    </row>
    <row r="381" spans="30:30" ht="12.75" customHeight="1">
      <c r="AD381" s="42"/>
    </row>
    <row r="382" spans="30:30" ht="12.75" customHeight="1">
      <c r="AD382" s="42"/>
    </row>
    <row r="383" spans="30:30" ht="12.75" customHeight="1">
      <c r="AD383" s="42"/>
    </row>
    <row r="384" spans="30:30" ht="12.75" customHeight="1">
      <c r="AD384" s="42"/>
    </row>
    <row r="385" spans="30:30" ht="12.75" customHeight="1">
      <c r="AD385" s="42"/>
    </row>
    <row r="386" spans="30:30" ht="12.75" customHeight="1">
      <c r="AD386" s="42"/>
    </row>
    <row r="387" spans="30:30" ht="12.75" customHeight="1">
      <c r="AD387" s="42"/>
    </row>
    <row r="388" spans="30:30" ht="12.75" customHeight="1">
      <c r="AD388" s="42"/>
    </row>
    <row r="389" spans="30:30" ht="12.75" customHeight="1">
      <c r="AD389" s="42"/>
    </row>
    <row r="390" spans="30:30" ht="12.75" customHeight="1">
      <c r="AD390" s="42"/>
    </row>
    <row r="391" spans="30:30" ht="12.75" customHeight="1">
      <c r="AD391" s="42"/>
    </row>
    <row r="392" spans="30:30" ht="12.75" customHeight="1">
      <c r="AD392" s="42"/>
    </row>
    <row r="393" spans="30:30" ht="12.75" customHeight="1">
      <c r="AD393" s="42"/>
    </row>
    <row r="394" spans="30:30" ht="12.75" customHeight="1">
      <c r="AD394" s="42"/>
    </row>
    <row r="395" spans="30:30" ht="12.75" customHeight="1">
      <c r="AD395" s="42"/>
    </row>
    <row r="396" spans="30:30" ht="12.75" customHeight="1">
      <c r="AD396" s="42"/>
    </row>
    <row r="397" spans="30:30" ht="12.75" customHeight="1">
      <c r="AD397" s="42"/>
    </row>
    <row r="398" spans="30:30" ht="12.75" customHeight="1">
      <c r="AD398" s="42"/>
    </row>
    <row r="399" spans="30:30" ht="12.75" customHeight="1">
      <c r="AD399" s="42"/>
    </row>
    <row r="400" spans="30:30" ht="12.75" customHeight="1">
      <c r="AD400" s="42"/>
    </row>
    <row r="401" spans="30:30" ht="12.75" customHeight="1">
      <c r="AD401" s="42"/>
    </row>
    <row r="402" spans="30:30" ht="12.75" customHeight="1">
      <c r="AD402" s="42"/>
    </row>
    <row r="403" spans="30:30" ht="12.75" customHeight="1">
      <c r="AD403" s="42"/>
    </row>
    <row r="404" spans="30:30" ht="12.75" customHeight="1">
      <c r="AD404" s="42"/>
    </row>
    <row r="405" spans="30:30" ht="12.75" customHeight="1">
      <c r="AD405" s="42"/>
    </row>
    <row r="406" spans="30:30" ht="12.75" customHeight="1">
      <c r="AD406" s="42"/>
    </row>
    <row r="407" spans="30:30" ht="12.75" customHeight="1">
      <c r="AD407" s="42"/>
    </row>
    <row r="408" spans="30:30" ht="12.75" customHeight="1">
      <c r="AD408" s="42"/>
    </row>
    <row r="409" spans="30:30" ht="12.75" customHeight="1">
      <c r="AD409" s="42"/>
    </row>
    <row r="410" spans="30:30" ht="12.75" customHeight="1">
      <c r="AD410" s="42"/>
    </row>
    <row r="411" spans="30:30" ht="12.75" customHeight="1">
      <c r="AD411" s="42"/>
    </row>
    <row r="412" spans="30:30" ht="12.75" customHeight="1">
      <c r="AD412" s="42"/>
    </row>
    <row r="413" spans="30:30" ht="12.75" customHeight="1">
      <c r="AD413" s="42"/>
    </row>
    <row r="414" spans="30:30" ht="12.75" customHeight="1">
      <c r="AD414" s="42"/>
    </row>
    <row r="415" spans="30:30" ht="12.75" customHeight="1">
      <c r="AD415" s="42"/>
    </row>
    <row r="416" spans="30:30" ht="12.75" customHeight="1">
      <c r="AD416" s="42"/>
    </row>
    <row r="417" spans="30:30" ht="12.75" customHeight="1">
      <c r="AD417" s="42"/>
    </row>
    <row r="418" spans="30:30" ht="12.75" customHeight="1">
      <c r="AD418" s="42"/>
    </row>
    <row r="419" spans="30:30" ht="12.75" customHeight="1">
      <c r="AD419" s="42"/>
    </row>
    <row r="420" spans="30:30" ht="12.75" customHeight="1">
      <c r="AD420" s="42"/>
    </row>
    <row r="421" spans="30:30" ht="12.75" customHeight="1">
      <c r="AD421" s="42"/>
    </row>
    <row r="422" spans="30:30" ht="12.75" customHeight="1">
      <c r="AD422" s="42"/>
    </row>
    <row r="423" spans="30:30" ht="12.75" customHeight="1">
      <c r="AD423" s="42"/>
    </row>
    <row r="424" spans="30:30" ht="12.75" customHeight="1">
      <c r="AD424" s="42"/>
    </row>
    <row r="425" spans="30:30" ht="12.75" customHeight="1">
      <c r="AD425" s="42"/>
    </row>
    <row r="426" spans="30:30" ht="12.75" customHeight="1">
      <c r="AD426" s="42"/>
    </row>
    <row r="427" spans="30:30" ht="12.75" customHeight="1">
      <c r="AD427" s="42"/>
    </row>
    <row r="428" spans="30:30" ht="12.75" customHeight="1">
      <c r="AD428" s="42"/>
    </row>
    <row r="429" spans="30:30" ht="12.75" customHeight="1">
      <c r="AD429" s="42"/>
    </row>
    <row r="430" spans="30:30" ht="12.75" customHeight="1">
      <c r="AD430" s="42"/>
    </row>
    <row r="431" spans="30:30" ht="12.75" customHeight="1">
      <c r="AD431" s="42"/>
    </row>
    <row r="432" spans="30:30" ht="12.75" customHeight="1">
      <c r="AD432" s="42"/>
    </row>
    <row r="433" spans="30:30" ht="12.75" customHeight="1">
      <c r="AD433" s="42"/>
    </row>
    <row r="434" spans="30:30" ht="12.75" customHeight="1">
      <c r="AD434" s="42"/>
    </row>
    <row r="435" spans="30:30" ht="12.75" customHeight="1">
      <c r="AD435" s="42"/>
    </row>
    <row r="436" spans="30:30" ht="12.75" customHeight="1">
      <c r="AD436" s="42"/>
    </row>
    <row r="437" spans="30:30" ht="12.75" customHeight="1">
      <c r="AD437" s="42"/>
    </row>
    <row r="438" spans="30:30" ht="12.75" customHeight="1">
      <c r="AD438" s="42"/>
    </row>
    <row r="439" spans="30:30" ht="12.75" customHeight="1">
      <c r="AD439" s="42"/>
    </row>
    <row r="440" spans="30:30" ht="12.75" customHeight="1">
      <c r="AD440" s="42"/>
    </row>
    <row r="441" spans="30:30" ht="12.75" customHeight="1">
      <c r="AD441" s="42"/>
    </row>
    <row r="442" spans="30:30" ht="12.75" customHeight="1">
      <c r="AD442" s="42"/>
    </row>
    <row r="443" spans="30:30" ht="12.75" customHeight="1">
      <c r="AD443" s="42"/>
    </row>
    <row r="444" spans="30:30" ht="12.75" customHeight="1">
      <c r="AD444" s="42"/>
    </row>
    <row r="445" spans="30:30" ht="12.75" customHeight="1">
      <c r="AD445" s="42"/>
    </row>
    <row r="446" spans="30:30" ht="12.75" customHeight="1">
      <c r="AD446" s="42"/>
    </row>
    <row r="447" spans="30:30" ht="12.75" customHeight="1">
      <c r="AD447" s="42"/>
    </row>
    <row r="448" spans="30:30" ht="12.75" customHeight="1">
      <c r="AD448" s="42"/>
    </row>
    <row r="449" spans="30:30" ht="12.75" customHeight="1">
      <c r="AD449" s="42"/>
    </row>
    <row r="450" spans="30:30" ht="12.75" customHeight="1">
      <c r="AD450" s="42"/>
    </row>
    <row r="451" spans="30:30" ht="12.75" customHeight="1">
      <c r="AD451" s="42"/>
    </row>
    <row r="452" spans="30:30" ht="12.75" customHeight="1">
      <c r="AD452" s="42"/>
    </row>
    <row r="453" spans="30:30" ht="12.75" customHeight="1">
      <c r="AD453" s="42"/>
    </row>
    <row r="454" spans="30:30" ht="12.75" customHeight="1">
      <c r="AD454" s="42"/>
    </row>
    <row r="455" spans="30:30" ht="12.75" customHeight="1">
      <c r="AD455" s="42"/>
    </row>
    <row r="456" spans="30:30" ht="12.75" customHeight="1">
      <c r="AD456" s="42"/>
    </row>
    <row r="457" spans="30:30" ht="12.75" customHeight="1">
      <c r="AD457" s="42"/>
    </row>
    <row r="458" spans="30:30" ht="12.75" customHeight="1">
      <c r="AD458" s="42"/>
    </row>
    <row r="459" spans="30:30" ht="12.75" customHeight="1">
      <c r="AD459" s="42"/>
    </row>
    <row r="460" spans="30:30" ht="12.75" customHeight="1">
      <c r="AD460" s="42"/>
    </row>
    <row r="461" spans="30:30" ht="12.75" customHeight="1">
      <c r="AD461" s="42"/>
    </row>
    <row r="462" spans="30:30" ht="12.75" customHeight="1">
      <c r="AD462" s="42"/>
    </row>
    <row r="463" spans="30:30" ht="12.75" customHeight="1">
      <c r="AD463" s="42"/>
    </row>
    <row r="464" spans="30:30" ht="12.75" customHeight="1">
      <c r="AD464" s="42"/>
    </row>
    <row r="465" spans="30:30" ht="12.75" customHeight="1">
      <c r="AD465" s="42"/>
    </row>
    <row r="466" spans="30:30" ht="12.75" customHeight="1">
      <c r="AD466" s="42"/>
    </row>
    <row r="467" spans="30:30" ht="12.75" customHeight="1">
      <c r="AD467" s="42"/>
    </row>
    <row r="468" spans="30:30" ht="12.75" customHeight="1">
      <c r="AD468" s="42"/>
    </row>
    <row r="469" spans="30:30" ht="12.75" customHeight="1">
      <c r="AD469" s="42"/>
    </row>
    <row r="470" spans="30:30" ht="12.75" customHeight="1">
      <c r="AD470" s="42"/>
    </row>
    <row r="471" spans="30:30" ht="12.75" customHeight="1">
      <c r="AD471" s="42"/>
    </row>
    <row r="472" spans="30:30" ht="12.75" customHeight="1">
      <c r="AD472" s="42"/>
    </row>
    <row r="473" spans="30:30" ht="12.75" customHeight="1">
      <c r="AD473" s="42"/>
    </row>
    <row r="474" spans="30:30" ht="12.75" customHeight="1">
      <c r="AD474" s="42"/>
    </row>
    <row r="475" spans="30:30" ht="12.75" customHeight="1">
      <c r="AD475" s="42"/>
    </row>
    <row r="476" spans="30:30" ht="12.75" customHeight="1">
      <c r="AD476" s="42"/>
    </row>
    <row r="477" spans="30:30" ht="12.75" customHeight="1">
      <c r="AD477" s="42"/>
    </row>
    <row r="478" spans="30:30" ht="12.75" customHeight="1">
      <c r="AD478" s="42"/>
    </row>
    <row r="479" spans="30:30" ht="12.75" customHeight="1">
      <c r="AD479" s="42"/>
    </row>
    <row r="480" spans="30:30" ht="12.75" customHeight="1">
      <c r="AD480" s="42"/>
    </row>
    <row r="481" spans="30:30" ht="12.75" customHeight="1">
      <c r="AD481" s="42"/>
    </row>
    <row r="482" spans="30:30" ht="12.75" customHeight="1">
      <c r="AD482" s="42"/>
    </row>
    <row r="483" spans="30:30" ht="12.75" customHeight="1">
      <c r="AD483" s="42"/>
    </row>
    <row r="484" spans="30:30" ht="12.75" customHeight="1">
      <c r="AD484" s="42"/>
    </row>
    <row r="485" spans="30:30" ht="12.75" customHeight="1">
      <c r="AD485" s="42"/>
    </row>
    <row r="486" spans="30:30" ht="12.75" customHeight="1">
      <c r="AD486" s="42"/>
    </row>
    <row r="487" spans="30:30" ht="12.75" customHeight="1">
      <c r="AD487" s="42"/>
    </row>
    <row r="488" spans="30:30" ht="12.75" customHeight="1">
      <c r="AD488" s="42"/>
    </row>
    <row r="489" spans="30:30" ht="12.75" customHeight="1">
      <c r="AD489" s="42"/>
    </row>
    <row r="490" spans="30:30" ht="12.75" customHeight="1">
      <c r="AD490" s="42"/>
    </row>
    <row r="491" spans="30:30" ht="12.75" customHeight="1">
      <c r="AD491" s="42"/>
    </row>
    <row r="492" spans="30:30" ht="12.75" customHeight="1">
      <c r="AD492" s="42"/>
    </row>
    <row r="493" spans="30:30" ht="12.75" customHeight="1">
      <c r="AD493" s="42"/>
    </row>
    <row r="494" spans="30:30" ht="12.75" customHeight="1">
      <c r="AD494" s="42"/>
    </row>
    <row r="495" spans="30:30" ht="12.75" customHeight="1">
      <c r="AD495" s="42"/>
    </row>
    <row r="496" spans="30:30" ht="12.75" customHeight="1">
      <c r="AD496" s="42"/>
    </row>
    <row r="497" spans="30:30" ht="12.75" customHeight="1">
      <c r="AD497" s="42"/>
    </row>
    <row r="498" spans="30:30" ht="12.75" customHeight="1">
      <c r="AD498" s="42"/>
    </row>
    <row r="499" spans="30:30" ht="12.75" customHeight="1">
      <c r="AD499" s="42"/>
    </row>
    <row r="500" spans="30:30" ht="12.75" customHeight="1">
      <c r="AD500" s="42"/>
    </row>
    <row r="501" spans="30:30" ht="12.75" customHeight="1">
      <c r="AD501" s="42"/>
    </row>
    <row r="502" spans="30:30" ht="12.75" customHeight="1">
      <c r="AD502" s="42"/>
    </row>
    <row r="503" spans="30:30" ht="12.75" customHeight="1">
      <c r="AD503" s="42"/>
    </row>
    <row r="504" spans="30:30" ht="12.75" customHeight="1">
      <c r="AD504" s="42"/>
    </row>
    <row r="505" spans="30:30" ht="12.75" customHeight="1">
      <c r="AD505" s="42"/>
    </row>
    <row r="506" spans="30:30" ht="12.75" customHeight="1">
      <c r="AD506" s="42"/>
    </row>
    <row r="507" spans="30:30" ht="12.75" customHeight="1">
      <c r="AD507" s="42"/>
    </row>
    <row r="508" spans="30:30" ht="12.75" customHeight="1">
      <c r="AD508" s="42"/>
    </row>
    <row r="509" spans="30:30" ht="12.75" customHeight="1">
      <c r="AD509" s="42"/>
    </row>
    <row r="510" spans="30:30" ht="12.75" customHeight="1">
      <c r="AD510" s="42"/>
    </row>
    <row r="511" spans="30:30" ht="12.75" customHeight="1">
      <c r="AD511" s="42"/>
    </row>
    <row r="512" spans="30:30" ht="12.75" customHeight="1">
      <c r="AD512" s="42"/>
    </row>
    <row r="513" spans="30:30" ht="12.75" customHeight="1">
      <c r="AD513" s="42"/>
    </row>
    <row r="514" spans="30:30" ht="12.75" customHeight="1">
      <c r="AD514" s="42"/>
    </row>
    <row r="515" spans="30:30" ht="12.75" customHeight="1">
      <c r="AD515" s="42"/>
    </row>
    <row r="516" spans="30:30" ht="12.75" customHeight="1">
      <c r="AD516" s="42"/>
    </row>
    <row r="517" spans="30:30" ht="12.75" customHeight="1">
      <c r="AD517" s="42"/>
    </row>
    <row r="518" spans="30:30" ht="12.75" customHeight="1">
      <c r="AD518" s="42"/>
    </row>
    <row r="519" spans="30:30" ht="12.75" customHeight="1">
      <c r="AD519" s="42"/>
    </row>
    <row r="520" spans="30:30" ht="12.75" customHeight="1">
      <c r="AD520" s="42"/>
    </row>
    <row r="521" spans="30:30" ht="12.75" customHeight="1">
      <c r="AD521" s="42"/>
    </row>
    <row r="522" spans="30:30" ht="12.75" customHeight="1">
      <c r="AD522" s="42"/>
    </row>
    <row r="523" spans="30:30" ht="12.75" customHeight="1">
      <c r="AD523" s="42"/>
    </row>
    <row r="524" spans="30:30" ht="12.75" customHeight="1">
      <c r="AD524" s="42"/>
    </row>
    <row r="525" spans="30:30" ht="12.75" customHeight="1">
      <c r="AD525" s="42"/>
    </row>
    <row r="526" spans="30:30" ht="12.75" customHeight="1">
      <c r="AD526" s="42"/>
    </row>
    <row r="527" spans="30:30" ht="12.75" customHeight="1">
      <c r="AD527" s="42"/>
    </row>
    <row r="528" spans="30:30" ht="12.75" customHeight="1">
      <c r="AD528" s="42"/>
    </row>
    <row r="529" spans="30:30" ht="12.75" customHeight="1">
      <c r="AD529" s="42"/>
    </row>
    <row r="530" spans="30:30" ht="12.75" customHeight="1">
      <c r="AD530" s="42"/>
    </row>
    <row r="531" spans="30:30" ht="12.75" customHeight="1">
      <c r="AD531" s="42"/>
    </row>
    <row r="532" spans="30:30" ht="12.75" customHeight="1">
      <c r="AD532" s="42"/>
    </row>
    <row r="533" spans="30:30" ht="12.75" customHeight="1">
      <c r="AD533" s="42"/>
    </row>
    <row r="534" spans="30:30" ht="12.75" customHeight="1">
      <c r="AD534" s="42"/>
    </row>
    <row r="535" spans="30:30" ht="12.75" customHeight="1">
      <c r="AD535" s="42"/>
    </row>
    <row r="536" spans="30:30" ht="12.75" customHeight="1">
      <c r="AD536" s="42"/>
    </row>
    <row r="537" spans="30:30" ht="12.75" customHeight="1">
      <c r="AD537" s="42"/>
    </row>
    <row r="538" spans="30:30" ht="12.75" customHeight="1">
      <c r="AD538" s="42"/>
    </row>
    <row r="539" spans="30:30" ht="12.75" customHeight="1">
      <c r="AD539" s="42"/>
    </row>
    <row r="540" spans="30:30" ht="12.75" customHeight="1">
      <c r="AD540" s="42"/>
    </row>
    <row r="541" spans="30:30" ht="12.75" customHeight="1">
      <c r="AD541" s="42"/>
    </row>
    <row r="542" spans="30:30" ht="12.75" customHeight="1">
      <c r="AD542" s="42"/>
    </row>
    <row r="543" spans="30:30" ht="12.75" customHeight="1">
      <c r="AD543" s="42"/>
    </row>
    <row r="544" spans="30:30" ht="12.75" customHeight="1">
      <c r="AD544" s="42"/>
    </row>
    <row r="545" spans="30:30" ht="12.75" customHeight="1">
      <c r="AD545" s="42"/>
    </row>
    <row r="546" spans="30:30" ht="12.75" customHeight="1">
      <c r="AD546" s="42"/>
    </row>
    <row r="547" spans="30:30" ht="12.75" customHeight="1">
      <c r="AD547" s="42"/>
    </row>
    <row r="548" spans="30:30" ht="12.75" customHeight="1">
      <c r="AD548" s="42"/>
    </row>
    <row r="549" spans="30:30" ht="12.75" customHeight="1">
      <c r="AD549" s="42"/>
    </row>
    <row r="550" spans="30:30" ht="12.75" customHeight="1">
      <c r="AD550" s="42"/>
    </row>
    <row r="551" spans="30:30" ht="12.75" customHeight="1">
      <c r="AD551" s="42"/>
    </row>
    <row r="552" spans="30:30" ht="12.75" customHeight="1">
      <c r="AD552" s="42"/>
    </row>
    <row r="553" spans="30:30" ht="12.75" customHeight="1">
      <c r="AD553" s="42"/>
    </row>
    <row r="554" spans="30:30" ht="12.75" customHeight="1">
      <c r="AD554" s="42"/>
    </row>
    <row r="555" spans="30:30" ht="12.75" customHeight="1">
      <c r="AD555" s="42"/>
    </row>
    <row r="556" spans="30:30" ht="12.75" customHeight="1">
      <c r="AD556" s="42"/>
    </row>
    <row r="557" spans="30:30" ht="12.75" customHeight="1">
      <c r="AD557" s="42"/>
    </row>
    <row r="558" spans="30:30" ht="12.75" customHeight="1">
      <c r="AD558" s="42"/>
    </row>
    <row r="559" spans="30:30" ht="12.75" customHeight="1">
      <c r="AD559" s="42"/>
    </row>
    <row r="560" spans="30:30" ht="12.75" customHeight="1">
      <c r="AD560" s="42"/>
    </row>
    <row r="561" spans="30:30" ht="12.75" customHeight="1">
      <c r="AD561" s="42"/>
    </row>
    <row r="562" spans="30:30" ht="12.75" customHeight="1">
      <c r="AD562" s="42"/>
    </row>
    <row r="563" spans="30:30" ht="12.75" customHeight="1">
      <c r="AD563" s="42"/>
    </row>
    <row r="564" spans="30:30" ht="12.75" customHeight="1">
      <c r="AD564" s="42"/>
    </row>
    <row r="565" spans="30:30" ht="12.75" customHeight="1">
      <c r="AD565" s="42"/>
    </row>
    <row r="566" spans="30:30" ht="12.75" customHeight="1">
      <c r="AD566" s="42"/>
    </row>
    <row r="567" spans="30:30" ht="12.75" customHeight="1">
      <c r="AD567" s="42"/>
    </row>
    <row r="568" spans="30:30" ht="12.75" customHeight="1">
      <c r="AD568" s="42"/>
    </row>
    <row r="569" spans="30:30" ht="12.75" customHeight="1">
      <c r="AD569" s="42"/>
    </row>
    <row r="570" spans="30:30" ht="12.75" customHeight="1">
      <c r="AD570" s="42"/>
    </row>
    <row r="571" spans="30:30" ht="12.75" customHeight="1">
      <c r="AD571" s="42"/>
    </row>
    <row r="572" spans="30:30" ht="12.75" customHeight="1">
      <c r="AD572" s="42"/>
    </row>
    <row r="573" spans="30:30" ht="12.75" customHeight="1">
      <c r="AD573" s="42"/>
    </row>
    <row r="574" spans="30:30" ht="12.75" customHeight="1">
      <c r="AD574" s="42"/>
    </row>
    <row r="575" spans="30:30" ht="12.75" customHeight="1">
      <c r="AD575" s="42"/>
    </row>
    <row r="576" spans="30:30" ht="12.75" customHeight="1">
      <c r="AD576" s="42"/>
    </row>
    <row r="577" spans="30:30" ht="12.75" customHeight="1">
      <c r="AD577" s="42"/>
    </row>
    <row r="578" spans="30:30" ht="12.75" customHeight="1">
      <c r="AD578" s="42"/>
    </row>
    <row r="579" spans="30:30" ht="12.75" customHeight="1">
      <c r="AD579" s="42"/>
    </row>
    <row r="580" spans="30:30" ht="12.75" customHeight="1">
      <c r="AD580" s="42"/>
    </row>
    <row r="581" spans="30:30" ht="12.75" customHeight="1">
      <c r="AD581" s="42"/>
    </row>
    <row r="582" spans="30:30" ht="12.75" customHeight="1">
      <c r="AD582" s="42"/>
    </row>
    <row r="583" spans="30:30" ht="12.75" customHeight="1">
      <c r="AD583" s="42"/>
    </row>
    <row r="584" spans="30:30" ht="12.75" customHeight="1">
      <c r="AD584" s="42"/>
    </row>
    <row r="585" spans="30:30" ht="12.75" customHeight="1">
      <c r="AD585" s="42"/>
    </row>
    <row r="586" spans="30:30" ht="12.75" customHeight="1">
      <c r="AD586" s="42"/>
    </row>
    <row r="587" spans="30:30" ht="12.75" customHeight="1">
      <c r="AD587" s="42"/>
    </row>
    <row r="588" spans="30:30" ht="12.75" customHeight="1">
      <c r="AD588" s="42"/>
    </row>
    <row r="589" spans="30:30" ht="12.75" customHeight="1">
      <c r="AD589" s="42"/>
    </row>
    <row r="590" spans="30:30" ht="12.75" customHeight="1">
      <c r="AD590" s="42"/>
    </row>
    <row r="591" spans="30:30" ht="12.75" customHeight="1">
      <c r="AD591" s="42"/>
    </row>
    <row r="592" spans="30:30" ht="12.75" customHeight="1">
      <c r="AD592" s="42"/>
    </row>
    <row r="593" spans="30:30" ht="12.75" customHeight="1">
      <c r="AD593" s="42"/>
    </row>
    <row r="594" spans="30:30" ht="12.75" customHeight="1">
      <c r="AD594" s="42"/>
    </row>
    <row r="595" spans="30:30" ht="12.75" customHeight="1">
      <c r="AD595" s="42"/>
    </row>
    <row r="596" spans="30:30" ht="12.75" customHeight="1">
      <c r="AD596" s="42"/>
    </row>
    <row r="597" spans="30:30" ht="12.75" customHeight="1">
      <c r="AD597" s="42"/>
    </row>
    <row r="598" spans="30:30" ht="12.75" customHeight="1">
      <c r="AD598" s="42"/>
    </row>
    <row r="599" spans="30:30" ht="12.75" customHeight="1">
      <c r="AD599" s="42"/>
    </row>
    <row r="600" spans="30:30" ht="12.75" customHeight="1">
      <c r="AD600" s="42"/>
    </row>
    <row r="601" spans="30:30" ht="12.75" customHeight="1">
      <c r="AD601" s="42"/>
    </row>
    <row r="602" spans="30:30" ht="12.75" customHeight="1">
      <c r="AD602" s="42"/>
    </row>
    <row r="603" spans="30:30" ht="12.75" customHeight="1">
      <c r="AD603" s="42"/>
    </row>
    <row r="604" spans="30:30" ht="12.75" customHeight="1">
      <c r="AD604" s="42"/>
    </row>
    <row r="605" spans="30:30" ht="12.75" customHeight="1">
      <c r="AD605" s="42"/>
    </row>
    <row r="606" spans="30:30" ht="12.75" customHeight="1">
      <c r="AD606" s="42"/>
    </row>
    <row r="607" spans="30:30" ht="12.75" customHeight="1">
      <c r="AD607" s="42"/>
    </row>
    <row r="608" spans="30:30" ht="12.75" customHeight="1">
      <c r="AD608" s="42"/>
    </row>
    <row r="609" spans="30:30" ht="12.75" customHeight="1">
      <c r="AD609" s="42"/>
    </row>
    <row r="610" spans="30:30" ht="12.75" customHeight="1">
      <c r="AD610" s="42"/>
    </row>
    <row r="611" spans="30:30" ht="12.75" customHeight="1">
      <c r="AD611" s="42"/>
    </row>
    <row r="612" spans="30:30" ht="12.75" customHeight="1">
      <c r="AD612" s="42"/>
    </row>
    <row r="613" spans="30:30" ht="12.75" customHeight="1">
      <c r="AD613" s="42"/>
    </row>
    <row r="614" spans="30:30" ht="12.75" customHeight="1">
      <c r="AD614" s="42"/>
    </row>
    <row r="615" spans="30:30" ht="12.75" customHeight="1">
      <c r="AD615" s="42"/>
    </row>
    <row r="616" spans="30:30" ht="12.75" customHeight="1">
      <c r="AD616" s="42"/>
    </row>
    <row r="617" spans="30:30" ht="12.75" customHeight="1">
      <c r="AD617" s="42"/>
    </row>
    <row r="618" spans="30:30" ht="12.75" customHeight="1">
      <c r="AD618" s="42"/>
    </row>
    <row r="619" spans="30:30" ht="12.75" customHeight="1">
      <c r="AD619" s="42"/>
    </row>
    <row r="620" spans="30:30" ht="12.75" customHeight="1">
      <c r="AD620" s="42"/>
    </row>
    <row r="621" spans="30:30" ht="12.75" customHeight="1">
      <c r="AD621" s="42"/>
    </row>
    <row r="622" spans="30:30" ht="12.75" customHeight="1">
      <c r="AD622" s="42"/>
    </row>
    <row r="623" spans="30:30" ht="12.75" customHeight="1">
      <c r="AD623" s="42"/>
    </row>
    <row r="624" spans="30:30" ht="12.75" customHeight="1">
      <c r="AD624" s="42"/>
    </row>
    <row r="625" spans="30:30" ht="12.75" customHeight="1">
      <c r="AD625" s="42"/>
    </row>
    <row r="626" spans="30:30" ht="12.75" customHeight="1">
      <c r="AD626" s="42"/>
    </row>
    <row r="627" spans="30:30" ht="12.75" customHeight="1">
      <c r="AD627" s="42"/>
    </row>
    <row r="628" spans="30:30" ht="12.75" customHeight="1">
      <c r="AD628" s="42"/>
    </row>
    <row r="629" spans="30:30" ht="12.75" customHeight="1">
      <c r="AD629" s="42"/>
    </row>
    <row r="630" spans="30:30" ht="12.75" customHeight="1">
      <c r="AD630" s="42"/>
    </row>
    <row r="631" spans="30:30" ht="12.75" customHeight="1">
      <c r="AD631" s="42"/>
    </row>
    <row r="632" spans="30:30" ht="12.75" customHeight="1">
      <c r="AD632" s="42"/>
    </row>
    <row r="633" spans="30:30" ht="12.75" customHeight="1">
      <c r="AD633" s="42"/>
    </row>
    <row r="634" spans="30:30" ht="12.75" customHeight="1">
      <c r="AD634" s="42"/>
    </row>
    <row r="635" spans="30:30" ht="12.75" customHeight="1">
      <c r="AD635" s="42"/>
    </row>
    <row r="636" spans="30:30" ht="12.75" customHeight="1">
      <c r="AD636" s="42"/>
    </row>
    <row r="637" spans="30:30" ht="12.75" customHeight="1">
      <c r="AD637" s="42"/>
    </row>
    <row r="638" spans="30:30" ht="12.75" customHeight="1">
      <c r="AD638" s="42"/>
    </row>
    <row r="639" spans="30:30" ht="12.75" customHeight="1">
      <c r="AD639" s="42"/>
    </row>
    <row r="640" spans="30:30" ht="12.75" customHeight="1">
      <c r="AD640" s="42"/>
    </row>
    <row r="641" spans="30:30" ht="12.75" customHeight="1">
      <c r="AD641" s="42"/>
    </row>
    <row r="642" spans="30:30" ht="12.75" customHeight="1">
      <c r="AD642" s="42"/>
    </row>
    <row r="643" spans="30:30" ht="12.75" customHeight="1">
      <c r="AD643" s="42"/>
    </row>
    <row r="644" spans="30:30" ht="12.75" customHeight="1">
      <c r="AD644" s="42"/>
    </row>
    <row r="645" spans="30:30" ht="12.75" customHeight="1">
      <c r="AD645" s="42"/>
    </row>
    <row r="646" spans="30:30" ht="12.75" customHeight="1">
      <c r="AD646" s="42"/>
    </row>
    <row r="647" spans="30:30" ht="12.75" customHeight="1">
      <c r="AD647" s="42"/>
    </row>
    <row r="648" spans="30:30" ht="12.75" customHeight="1">
      <c r="AD648" s="42"/>
    </row>
    <row r="649" spans="30:30" ht="12.75" customHeight="1">
      <c r="AD649" s="42"/>
    </row>
    <row r="650" spans="30:30" ht="12.75" customHeight="1">
      <c r="AD650" s="42"/>
    </row>
    <row r="651" spans="30:30" ht="12.75" customHeight="1">
      <c r="AD651" s="42"/>
    </row>
    <row r="652" spans="30:30" ht="12.75" customHeight="1">
      <c r="AD652" s="42"/>
    </row>
    <row r="653" spans="30:30" ht="12.75" customHeight="1">
      <c r="AD653" s="42"/>
    </row>
    <row r="654" spans="30:30" ht="12.75" customHeight="1">
      <c r="AD654" s="42"/>
    </row>
    <row r="655" spans="30:30" ht="12.75" customHeight="1">
      <c r="AD655" s="42"/>
    </row>
    <row r="656" spans="30:30" ht="12.75" customHeight="1">
      <c r="AD656" s="42"/>
    </row>
    <row r="657" spans="30:30" ht="12.75" customHeight="1">
      <c r="AD657" s="42"/>
    </row>
    <row r="658" spans="30:30" ht="12.75" customHeight="1">
      <c r="AD658" s="42"/>
    </row>
    <row r="659" spans="30:30" ht="12.75" customHeight="1">
      <c r="AD659" s="42"/>
    </row>
    <row r="660" spans="30:30" ht="12.75" customHeight="1">
      <c r="AD660" s="42"/>
    </row>
    <row r="661" spans="30:30" ht="12.75" customHeight="1">
      <c r="AD661" s="42"/>
    </row>
    <row r="662" spans="30:30" ht="12.75" customHeight="1">
      <c r="AD662" s="42"/>
    </row>
    <row r="663" spans="30:30" ht="12.75" customHeight="1">
      <c r="AD663" s="42"/>
    </row>
    <row r="664" spans="30:30" ht="12.75" customHeight="1">
      <c r="AD664" s="42"/>
    </row>
    <row r="665" spans="30:30" ht="12.75" customHeight="1">
      <c r="AD665" s="42"/>
    </row>
    <row r="666" spans="30:30" ht="12.75" customHeight="1">
      <c r="AD666" s="42"/>
    </row>
    <row r="667" spans="30:30" ht="12.75" customHeight="1">
      <c r="AD667" s="42"/>
    </row>
    <row r="668" spans="30:30" ht="12.75" customHeight="1">
      <c r="AD668" s="42"/>
    </row>
    <row r="669" spans="30:30" ht="12.75" customHeight="1">
      <c r="AD669" s="42"/>
    </row>
    <row r="670" spans="30:30" ht="12.75" customHeight="1">
      <c r="AD670" s="42"/>
    </row>
    <row r="671" spans="30:30" ht="12.75" customHeight="1">
      <c r="AD671" s="42"/>
    </row>
    <row r="672" spans="30:30" ht="12.75" customHeight="1">
      <c r="AD672" s="42"/>
    </row>
    <row r="673" spans="30:30" ht="12.75" customHeight="1">
      <c r="AD673" s="42"/>
    </row>
    <row r="674" spans="30:30" ht="12.75" customHeight="1">
      <c r="AD674" s="42"/>
    </row>
    <row r="675" spans="30:30" ht="12.75" customHeight="1">
      <c r="AD675" s="42"/>
    </row>
    <row r="676" spans="30:30" ht="12.75" customHeight="1">
      <c r="AD676" s="42"/>
    </row>
    <row r="677" spans="30:30" ht="12.75" customHeight="1">
      <c r="AD677" s="42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1FEAC3921624181466A6FD9AA121B" ma:contentTypeVersion="15" ma:contentTypeDescription="Create a new document." ma:contentTypeScope="" ma:versionID="b944eb1c68b603d0a91016cc0cc9ed67">
  <xsd:schema xmlns:xsd="http://www.w3.org/2001/XMLSchema" xmlns:xs="http://www.w3.org/2001/XMLSchema" xmlns:p="http://schemas.microsoft.com/office/2006/metadata/properties" xmlns:ns2="a7890404-4b4b-499c-b4b7-7f823b789297" xmlns:ns3="8ce3d841-6df3-4375-a3b0-c106d396613b" targetNamespace="http://schemas.microsoft.com/office/2006/metadata/properties" ma:root="true" ma:fieldsID="4bbe6d61009715bdcff59eeef8a1e2a5" ns2:_="" ns3:_="">
    <xsd:import namespace="a7890404-4b4b-499c-b4b7-7f823b789297"/>
    <xsd:import namespace="8ce3d841-6df3-4375-a3b0-c106d3966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90404-4b4b-499c-b4b7-7f823b7892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29fabb-fa92-4937-9c00-2ad8682e03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3d841-6df3-4375-a3b0-c106d3966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14a3c1c-be93-48f0-898f-bbcce301600b}" ma:internalName="TaxCatchAll" ma:showField="CatchAllData" ma:web="8ce3d841-6df3-4375-a3b0-c106d39661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e3d841-6df3-4375-a3b0-c106d396613b" xsi:nil="true"/>
    <lcf76f155ced4ddcb4097134ff3c332f xmlns="a7890404-4b4b-499c-b4b7-7f823b7892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3D5A85-AC3B-42D0-8DEE-D57E1D2049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0C35D-98AC-4B52-A63E-74DB2F52A0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90404-4b4b-499c-b4b7-7f823b789297"/>
    <ds:schemaRef ds:uri="8ce3d841-6df3-4375-a3b0-c106d3966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DAA483-32AC-45DB-A1BA-14097511FA52}">
  <ds:schemaRefs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8ce3d841-6df3-4375-a3b0-c106d396613b"/>
    <ds:schemaRef ds:uri="http://schemas.microsoft.com/office/2006/metadata/properties"/>
    <ds:schemaRef ds:uri="http://schemas.openxmlformats.org/package/2006/metadata/core-properties"/>
    <ds:schemaRef ds:uri="a7890404-4b4b-499c-b4b7-7f823b78929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Master</vt:lpstr>
      <vt:lpstr>VDB</vt:lpstr>
      <vt:lpstr>Master!Print_Area</vt:lpstr>
      <vt:lpstr>Master!Print_Titles</vt:lpstr>
    </vt:vector>
  </TitlesOfParts>
  <Manager/>
  <Company>Sunglass Hut International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Sunglass Hut International</dc:creator>
  <cp:keywords/>
  <dc:description/>
  <cp:lastModifiedBy>Long Lisa</cp:lastModifiedBy>
  <cp:revision/>
  <dcterms:created xsi:type="dcterms:W3CDTF">2000-02-11T13:46:51Z</dcterms:created>
  <dcterms:modified xsi:type="dcterms:W3CDTF">2024-01-23T20:10:13Z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2023-02-28T18:39:33Z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1ad7c180-f3fa-48f0-bbea-e04390c4ebec</vt:lpwstr>
  </property>
  <property fmtid="{D5CDD505-2E9C-101B-9397-08002B2CF9AE}" pid="8" name="MSIP_Label_2e9a4386-74b9-4603-ae20-950a659f9b6e_ContentBits">
    <vt:lpwstr>0</vt:lpwstr>
  </property>
  <property fmtid="{D5CDD505-2E9C-101B-9397-08002B2CF9AE}" pid="9" name="ContentTypeId">
    <vt:lpwstr>0x010100BDB1FEAC3921624181466A6FD9AA121B</vt:lpwstr>
  </property>
  <property fmtid="{D5CDD505-2E9C-101B-9397-08002B2CF9AE}" pid="10" name="MediaServiceImageTags">
    <vt:lpwstr/>
  </property>
</Properties>
</file>